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7FB61E8-CFD3-4BF9-9EC0-ED11AF4DED2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ổng hợp phí" sheetId="1" r:id="rId1"/>
    <sheet name="Dữ liệu giao dịch" sheetId="2" r:id="rId2"/>
    <sheet name="Bảng tra cứu" sheetId="3" r:id="rId3"/>
    <sheet name="Ghi chú" sheetId="4" r:id="rId4"/>
  </sheets>
  <definedNames>
    <definedName name="_xlnm._FilterDatabase" localSheetId="1" hidden="1">'Dữ liệu giao dịch'!$A$1:$C$200</definedName>
    <definedName name="_xlnm._FilterDatabase" localSheetId="0" hidden="1">'Tổng hợp phí'!$A$4:$I$14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0" i="2" l="1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C174" i="2"/>
  <c r="B174" i="2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C121" i="2"/>
  <c r="B121" i="2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C68" i="2"/>
  <c r="B68" i="2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C15" i="2"/>
  <c r="B15" i="2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D21" i="1"/>
  <c r="D20" i="1"/>
  <c r="D19" i="1"/>
  <c r="D18" i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D22" i="1" s="1"/>
  <c r="D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4" authorId="0" shapeId="0" xr:uid="{00000000-0006-0000-0000-000001000000}">
      <text>
        <r>
          <rPr>
            <sz val="10"/>
            <rFont val="Arial"/>
            <family val="2"/>
          </rPr>
          <t>Phí biến đổi = Doanh số × Tỷ lệ phí</t>
        </r>
      </text>
    </comment>
    <comment ref="I4" authorId="0" shapeId="0" xr:uid="{00000000-0006-0000-0000-000002000000}">
      <text>
        <r>
          <rPr>
            <sz val="10"/>
            <rFont val="Arial"/>
            <family val="2"/>
          </rPr>
          <t>Tổng phí = Phí cố định + (Doanh số × Tỷ lệ phí)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VLOOKUP(mã GD đã TRIM, Bảng tra cứu, cột 2, FALSE): FALSE = khớp chính xác.</t>
        </r>
      </text>
    </comment>
  </commentList>
</comments>
</file>

<file path=xl/sharedStrings.xml><?xml version="1.0" encoding="utf-8"?>
<sst xmlns="http://schemas.openxmlformats.org/spreadsheetml/2006/main" count="64" uniqueCount="58">
  <si>
    <t>BẢNG TỔNG HỢP PHÍ TỪ ĐỐI TÁC NGÂN HÀNG</t>
  </si>
  <si>
    <t>Tháng 05/2024</t>
  </si>
  <si>
    <t>STT</t>
  </si>
  <si>
    <t>Ngân hàng đối tác</t>
  </si>
  <si>
    <t>Mã đối tác</t>
  </si>
  <si>
    <t>Số giao dịch (thành công)</t>
  </si>
  <si>
    <t>Doanh số (VND)</t>
  </si>
  <si>
    <t>Phí cố định (VND)</t>
  </si>
  <si>
    <t>Tỷ lệ phí (%)</t>
  </si>
  <si>
    <t>Phí biến đổi (VND)</t>
  </si>
  <si>
    <t>Tổng phí (VND)</t>
  </si>
  <si>
    <t>Vietcombank</t>
  </si>
  <si>
    <t>VCB</t>
  </si>
  <si>
    <t>BIDV</t>
  </si>
  <si>
    <t>VietinBank</t>
  </si>
  <si>
    <t>CTG</t>
  </si>
  <si>
    <t>Techcombank</t>
  </si>
  <si>
    <t>TCB</t>
  </si>
  <si>
    <t>MB Bank</t>
  </si>
  <si>
    <t>MBB</t>
  </si>
  <si>
    <t>ACB</t>
  </si>
  <si>
    <t>VPBank</t>
  </si>
  <si>
    <t>VPB</t>
  </si>
  <si>
    <t>TPBank</t>
  </si>
  <si>
    <t>TPB</t>
  </si>
  <si>
    <t>OCB</t>
  </si>
  <si>
    <t>SHB</t>
  </si>
  <si>
    <t>TỔNG HỢP</t>
  </si>
  <si>
    <t>Tổng số giao dịch</t>
  </si>
  <si>
    <t>Tổng doanh số (VND)</t>
  </si>
  <si>
    <t>Tổng phí cố định (VND)</t>
  </si>
  <si>
    <t>Tổng phí biến đổi (VND)</t>
  </si>
  <si>
    <t>Tỷ lệ phí bình quân</t>
  </si>
  <si>
    <t>Ghi chú: Phí = Phí cố định + (Doanh số × Tỷ lệ phí)</t>
  </si>
  <si>
    <t>Mã GD (dữ liệu thô)</t>
  </si>
  <si>
    <t>Mã GD (đã TRIM)</t>
  </si>
  <si>
    <t>Tên người dùng</t>
  </si>
  <si>
    <t>Mã GD</t>
  </si>
  <si>
    <t>Mục</t>
  </si>
  <si>
    <t>Nội dung</t>
  </si>
  <si>
    <t>Nguồn số liệu</t>
  </si>
  <si>
    <t>Sheet 'Tổng hợp phí' nhập đúng 10 dòng ngân hàng trong ảnh đề bài (Tháng 05/2024). Không thêm dữ liệu ngoài đề.</t>
  </si>
  <si>
    <t>RECORD (Tổng hợp phí)</t>
  </si>
  <si>
    <t>Mỗi dòng = 1 ngân hàng đối tác trong tháng; 10 record; khóa là Mã đối tác.</t>
  </si>
  <si>
    <t>FIELD nhập</t>
  </si>
  <si>
    <t>STT, Ngân hàng đối tác, Mã đối tác, Số giao dịch (thành công), Doanh số (VND), Phí cố định (VND), Tỷ lệ phí (%).</t>
  </si>
  <si>
    <t>FIELD tính toán</t>
  </si>
  <si>
    <t>Phí biến đổi = Doanh số × Tỷ lệ phí; Tổng phí = Phí cố định + Phí biến đổi.</t>
  </si>
  <si>
    <t>RECORD (Dữ liệu giao dịch)</t>
  </si>
  <si>
    <t>Mỗi dòng = 1 giao dịch, khóa là Mã GD. Đề bài chưa cung cấp dữ liệu giao dịch nên sheet chỉ có khung và công thức.</t>
  </si>
  <si>
    <t>Cách dùng khung tra cứu</t>
  </si>
  <si>
    <t>Dán mã GD thô vào cột A của 'Dữ liệu giao dịch'; dán danh sách Mã GD và Tên người dùng vào 'Bảng tra cứu'. Cột B (TRIM) và C (VLOOKUP FALSE) tự tính.</t>
  </si>
  <si>
    <t>Chú thích màu</t>
  </si>
  <si>
    <t>Chữ xanh dương = ô nhập dữ liệu; chữ đen = công thức.</t>
  </si>
  <si>
    <t>Quy tắc dữ liệu</t>
  </si>
  <si>
    <t>Không Merge Cell; không hàng trống giữa các bản ghi; dòng tiêu đề riêng; mỗi cột một kiểu dữ liệu.</t>
  </si>
  <si>
    <t>Lưu ý số tổng trong ảnh</t>
  </si>
  <si>
    <t>Công thức SUM trên 10 dòng cho 641,023 giao dịch, phí biến đổi 93,278,682 và tổng phí 103,278,682. Dòng tổng trong ảnh ghi 637,023; 92,678,682 và 102,678,682 (lệch 4,000; 600,000; 600,000). File này giữ kết quả công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</si>
</sst>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1E6B3A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6B3A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3" fontId="6" fillId="0" borderId="1" xfId="0" applyNumberFormat="1" applyFont="1" applyFill="1" applyBorder="1"/>
    <xf numFmtId="164" fontId="6" fillId="0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/>
    <xf numFmtId="3" fontId="8" fillId="0" borderId="1" xfId="0" applyNumberFormat="1" applyFont="1" applyFill="1" applyBorder="1"/>
    <xf numFmtId="10" fontId="8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workbookViewId="0">
      <pane ySplit="4" topLeftCell="A5" activePane="bottomLeft" state="frozen"/>
      <selection pane="bottomLeft" activeCell="F24" sqref="F24"/>
    </sheetView>
  </sheetViews>
  <sheetFormatPr defaultColWidth="8.6640625" defaultRowHeight="14.4" x14ac:dyDescent="0.3"/>
  <cols>
    <col min="1" max="1" width="7" customWidth="1"/>
    <col min="2" max="2" width="22" customWidth="1"/>
    <col min="3" max="3" width="13" customWidth="1"/>
    <col min="4" max="4" width="18" customWidth="1"/>
    <col min="5" max="5" width="20" customWidth="1"/>
    <col min="6" max="6" width="17" customWidth="1"/>
    <col min="7" max="7" width="13" customWidth="1"/>
    <col min="8" max="8" width="19" customWidth="1"/>
    <col min="9" max="9" width="18" customWidth="1"/>
  </cols>
  <sheetData>
    <row r="1" spans="1:9" ht="17.399999999999999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4" spans="1:9" ht="33.7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">
      <c r="A5" s="15">
        <v>1</v>
      </c>
      <c r="B5" s="16" t="s">
        <v>11</v>
      </c>
      <c r="C5" s="15" t="s">
        <v>12</v>
      </c>
      <c r="D5" s="17">
        <v>128345</v>
      </c>
      <c r="E5" s="17">
        <v>25364580000</v>
      </c>
      <c r="F5" s="17">
        <v>1000000</v>
      </c>
      <c r="G5" s="18">
        <v>8.0000000000000004E-4</v>
      </c>
      <c r="H5" s="17">
        <f t="shared" ref="H5:H14" si="0">E5*G5</f>
        <v>20291664</v>
      </c>
      <c r="I5" s="17">
        <f t="shared" ref="I5:I14" si="1">F5+H5</f>
        <v>21291664</v>
      </c>
    </row>
    <row r="6" spans="1:9" x14ac:dyDescent="0.3">
      <c r="A6" s="15">
        <v>2</v>
      </c>
      <c r="B6" s="16" t="s">
        <v>13</v>
      </c>
      <c r="C6" s="15" t="s">
        <v>13</v>
      </c>
      <c r="D6" s="17">
        <v>96732</v>
      </c>
      <c r="E6" s="17">
        <v>18245760000</v>
      </c>
      <c r="F6" s="17">
        <v>1000000</v>
      </c>
      <c r="G6" s="18">
        <v>8.0000000000000004E-4</v>
      </c>
      <c r="H6" s="17">
        <f t="shared" si="0"/>
        <v>14596608</v>
      </c>
      <c r="I6" s="17">
        <f t="shared" si="1"/>
        <v>15596608</v>
      </c>
    </row>
    <row r="7" spans="1:9" x14ac:dyDescent="0.3">
      <c r="A7" s="15">
        <v>3</v>
      </c>
      <c r="B7" s="16" t="s">
        <v>14</v>
      </c>
      <c r="C7" s="15" t="s">
        <v>15</v>
      </c>
      <c r="D7" s="17">
        <v>87531</v>
      </c>
      <c r="E7" s="17">
        <v>16834210000</v>
      </c>
      <c r="F7" s="17">
        <v>1000000</v>
      </c>
      <c r="G7" s="18">
        <v>6.9999999999999999E-4</v>
      </c>
      <c r="H7" s="17">
        <f t="shared" si="0"/>
        <v>11783947</v>
      </c>
      <c r="I7" s="17">
        <f t="shared" si="1"/>
        <v>12783947</v>
      </c>
    </row>
    <row r="8" spans="1:9" x14ac:dyDescent="0.3">
      <c r="A8" s="15">
        <v>4</v>
      </c>
      <c r="B8" s="16" t="s">
        <v>16</v>
      </c>
      <c r="C8" s="15" t="s">
        <v>17</v>
      </c>
      <c r="D8" s="17">
        <v>74113</v>
      </c>
      <c r="E8" s="17">
        <v>14102330000</v>
      </c>
      <c r="F8" s="17">
        <v>1000000</v>
      </c>
      <c r="G8" s="18">
        <v>6.9999999999999999E-4</v>
      </c>
      <c r="H8" s="17">
        <f t="shared" si="0"/>
        <v>9871631</v>
      </c>
      <c r="I8" s="17">
        <f t="shared" si="1"/>
        <v>10871631</v>
      </c>
    </row>
    <row r="9" spans="1:9" x14ac:dyDescent="0.3">
      <c r="A9" s="15">
        <v>5</v>
      </c>
      <c r="B9" s="16" t="s">
        <v>18</v>
      </c>
      <c r="C9" s="15" t="s">
        <v>19</v>
      </c>
      <c r="D9" s="17">
        <v>63921</v>
      </c>
      <c r="E9" s="17">
        <v>12009880000</v>
      </c>
      <c r="F9" s="17">
        <v>1000000</v>
      </c>
      <c r="G9" s="18">
        <v>8.0000000000000004E-4</v>
      </c>
      <c r="H9" s="17">
        <f t="shared" si="0"/>
        <v>9607904</v>
      </c>
      <c r="I9" s="17">
        <f t="shared" si="1"/>
        <v>10607904</v>
      </c>
    </row>
    <row r="10" spans="1:9" x14ac:dyDescent="0.3">
      <c r="A10" s="15">
        <v>6</v>
      </c>
      <c r="B10" s="16" t="s">
        <v>20</v>
      </c>
      <c r="C10" s="15" t="s">
        <v>20</v>
      </c>
      <c r="D10" s="17">
        <v>52448</v>
      </c>
      <c r="E10" s="17">
        <v>9455230000</v>
      </c>
      <c r="F10" s="17">
        <v>1000000</v>
      </c>
      <c r="G10" s="18">
        <v>8.0000000000000004E-4</v>
      </c>
      <c r="H10" s="17">
        <f t="shared" si="0"/>
        <v>7564184</v>
      </c>
      <c r="I10" s="17">
        <f t="shared" si="1"/>
        <v>8564184</v>
      </c>
    </row>
    <row r="11" spans="1:9" x14ac:dyDescent="0.3">
      <c r="A11" s="15">
        <v>7</v>
      </c>
      <c r="B11" s="16" t="s">
        <v>21</v>
      </c>
      <c r="C11" s="15" t="s">
        <v>22</v>
      </c>
      <c r="D11" s="17">
        <v>49302</v>
      </c>
      <c r="E11" s="17">
        <v>8921450000</v>
      </c>
      <c r="F11" s="17">
        <v>1000000</v>
      </c>
      <c r="G11" s="18">
        <v>8.0000000000000004E-4</v>
      </c>
      <c r="H11" s="17">
        <f t="shared" si="0"/>
        <v>7137160</v>
      </c>
      <c r="I11" s="17">
        <f t="shared" si="1"/>
        <v>8137160</v>
      </c>
    </row>
    <row r="12" spans="1:9" x14ac:dyDescent="0.3">
      <c r="A12" s="15">
        <v>8</v>
      </c>
      <c r="B12" s="16" t="s">
        <v>23</v>
      </c>
      <c r="C12" s="15" t="s">
        <v>24</v>
      </c>
      <c r="D12" s="17">
        <v>38654</v>
      </c>
      <c r="E12" s="17">
        <v>6784120000</v>
      </c>
      <c r="F12" s="17">
        <v>1000000</v>
      </c>
      <c r="G12" s="18">
        <v>8.0000000000000004E-4</v>
      </c>
      <c r="H12" s="17">
        <f t="shared" si="0"/>
        <v>5427296</v>
      </c>
      <c r="I12" s="17">
        <f t="shared" si="1"/>
        <v>6427296</v>
      </c>
    </row>
    <row r="13" spans="1:9" x14ac:dyDescent="0.3">
      <c r="A13" s="15">
        <v>9</v>
      </c>
      <c r="B13" s="16" t="s">
        <v>25</v>
      </c>
      <c r="C13" s="15" t="s">
        <v>25</v>
      </c>
      <c r="D13" s="17">
        <v>27832</v>
      </c>
      <c r="E13" s="17">
        <v>4982630000</v>
      </c>
      <c r="F13" s="17">
        <v>1000000</v>
      </c>
      <c r="G13" s="18">
        <v>8.0000000000000004E-4</v>
      </c>
      <c r="H13" s="17">
        <f t="shared" si="0"/>
        <v>3986104</v>
      </c>
      <c r="I13" s="17">
        <f t="shared" si="1"/>
        <v>4986104</v>
      </c>
    </row>
    <row r="14" spans="1:9" x14ac:dyDescent="0.3">
      <c r="A14" s="15">
        <v>10</v>
      </c>
      <c r="B14" s="16" t="s">
        <v>26</v>
      </c>
      <c r="C14" s="15" t="s">
        <v>26</v>
      </c>
      <c r="D14" s="17">
        <v>22145</v>
      </c>
      <c r="E14" s="17">
        <v>3765230000</v>
      </c>
      <c r="F14" s="17">
        <v>1000000</v>
      </c>
      <c r="G14" s="18">
        <v>8.0000000000000004E-4</v>
      </c>
      <c r="H14" s="17">
        <f t="shared" si="0"/>
        <v>3012184</v>
      </c>
      <c r="I14" s="17">
        <f t="shared" si="1"/>
        <v>4012184</v>
      </c>
    </row>
    <row r="17" spans="1:4" x14ac:dyDescent="0.3">
      <c r="A17" s="3" t="s">
        <v>27</v>
      </c>
    </row>
    <row r="18" spans="1:4" x14ac:dyDescent="0.3">
      <c r="A18" s="4" t="s">
        <v>28</v>
      </c>
      <c r="D18" s="11">
        <f>SUM(D5:D14)</f>
        <v>641023</v>
      </c>
    </row>
    <row r="19" spans="1:4" x14ac:dyDescent="0.3">
      <c r="A19" s="4" t="s">
        <v>29</v>
      </c>
      <c r="D19" s="11">
        <f>SUM(E5:E14)</f>
        <v>120465420000</v>
      </c>
    </row>
    <row r="20" spans="1:4" x14ac:dyDescent="0.3">
      <c r="A20" s="4" t="s">
        <v>30</v>
      </c>
      <c r="D20" s="11">
        <f>SUM(F5:F14)</f>
        <v>10000000</v>
      </c>
    </row>
    <row r="21" spans="1:4" x14ac:dyDescent="0.3">
      <c r="A21" s="4" t="s">
        <v>31</v>
      </c>
      <c r="D21" s="11">
        <f>SUM(H5:H14)</f>
        <v>93278682</v>
      </c>
    </row>
    <row r="22" spans="1:4" x14ac:dyDescent="0.3">
      <c r="A22" s="4" t="s">
        <v>10</v>
      </c>
      <c r="D22" s="11">
        <f>SUM(I5:I14)</f>
        <v>103278682</v>
      </c>
    </row>
    <row r="23" spans="1:4" x14ac:dyDescent="0.3">
      <c r="A23" s="4" t="s">
        <v>32</v>
      </c>
      <c r="D23" s="12">
        <f>D22/D19</f>
        <v>8.5733052688481064E-4</v>
      </c>
    </row>
    <row r="25" spans="1:4" x14ac:dyDescent="0.3">
      <c r="A25" s="5" t="s">
        <v>33</v>
      </c>
    </row>
  </sheetData>
  <autoFilter ref="A4:I14" xr:uid="{00000000-0009-0000-0000-000000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0" customWidth="1"/>
    <col min="3" max="3" width="28" customWidth="1"/>
  </cols>
  <sheetData>
    <row r="1" spans="1:3" ht="21.75" customHeight="1" x14ac:dyDescent="0.3">
      <c r="A1" s="1" t="s">
        <v>34</v>
      </c>
      <c r="B1" s="1" t="s">
        <v>35</v>
      </c>
      <c r="C1" s="1" t="s">
        <v>36</v>
      </c>
    </row>
    <row r="2" spans="1:3" x14ac:dyDescent="0.3">
      <c r="A2" s="2"/>
      <c r="B2" s="6" t="str">
        <f t="shared" ref="B2:B33" si="0">IF(A2="","",TRIM(A2))</f>
        <v/>
      </c>
      <c r="C2" s="6" t="str">
        <f>IF(B2="","",TRIM(VLOOKUP(B2,'Bảng tra cứu'!$A$2:$B$1000,2,FALSE())))</f>
        <v/>
      </c>
    </row>
    <row r="3" spans="1:3" x14ac:dyDescent="0.3">
      <c r="A3" s="2"/>
      <c r="B3" s="6" t="str">
        <f t="shared" si="0"/>
        <v/>
      </c>
      <c r="C3" s="6" t="str">
        <f>IF(B3="","",TRIM(VLOOKUP(B3,'Bảng tra cứu'!$A$2:$B$1000,2,FALSE())))</f>
        <v/>
      </c>
    </row>
    <row r="4" spans="1:3" x14ac:dyDescent="0.3">
      <c r="A4" s="2"/>
      <c r="B4" s="6" t="str">
        <f t="shared" si="0"/>
        <v/>
      </c>
      <c r="C4" s="6" t="str">
        <f>IF(B4="","",TRIM(VLOOKUP(B4,'Bảng tra cứu'!$A$2:$B$1000,2,FALSE())))</f>
        <v/>
      </c>
    </row>
    <row r="5" spans="1:3" x14ac:dyDescent="0.3">
      <c r="A5" s="2"/>
      <c r="B5" s="6" t="str">
        <f t="shared" si="0"/>
        <v/>
      </c>
      <c r="C5" s="6" t="str">
        <f>IF(B5="","",TRIM(VLOOKUP(B5,'Bảng tra cứu'!$A$2:$B$1000,2,FALSE())))</f>
        <v/>
      </c>
    </row>
    <row r="6" spans="1:3" x14ac:dyDescent="0.3">
      <c r="A6" s="2"/>
      <c r="B6" s="6" t="str">
        <f t="shared" si="0"/>
        <v/>
      </c>
      <c r="C6" s="6" t="str">
        <f>IF(B6="","",TRIM(VLOOKUP(B6,'Bảng tra cứu'!$A$2:$B$1000,2,FALSE())))</f>
        <v/>
      </c>
    </row>
    <row r="7" spans="1:3" x14ac:dyDescent="0.3">
      <c r="A7" s="2"/>
      <c r="B7" s="6" t="str">
        <f t="shared" si="0"/>
        <v/>
      </c>
      <c r="C7" s="6" t="str">
        <f>IF(B7="","",TRIM(VLOOKUP(B7,'Bảng tra cứu'!$A$2:$B$1000,2,FALSE())))</f>
        <v/>
      </c>
    </row>
    <row r="8" spans="1:3" x14ac:dyDescent="0.3">
      <c r="A8" s="2"/>
      <c r="B8" s="6" t="str">
        <f t="shared" si="0"/>
        <v/>
      </c>
      <c r="C8" s="6" t="str">
        <f>IF(B8="","",TRIM(VLOOKUP(B8,'Bảng tra cứu'!$A$2:$B$1000,2,FALSE())))</f>
        <v/>
      </c>
    </row>
    <row r="9" spans="1:3" x14ac:dyDescent="0.3">
      <c r="A9" s="2"/>
      <c r="B9" s="6" t="str">
        <f t="shared" si="0"/>
        <v/>
      </c>
      <c r="C9" s="6" t="str">
        <f>IF(B9="","",TRIM(VLOOKUP(B9,'Bảng tra cứu'!$A$2:$B$1000,2,FALSE())))</f>
        <v/>
      </c>
    </row>
    <row r="10" spans="1:3" x14ac:dyDescent="0.3">
      <c r="A10" s="2"/>
      <c r="B10" s="6" t="str">
        <f t="shared" si="0"/>
        <v/>
      </c>
      <c r="C10" s="6" t="str">
        <f>IF(B10="","",TRIM(VLOOKUP(B10,'Bảng tra cứu'!$A$2:$B$1000,2,FALSE())))</f>
        <v/>
      </c>
    </row>
    <row r="11" spans="1:3" x14ac:dyDescent="0.3">
      <c r="A11" s="2"/>
      <c r="B11" s="6" t="str">
        <f t="shared" si="0"/>
        <v/>
      </c>
      <c r="C11" s="6" t="str">
        <f>IF(B11="","",TRIM(VLOOKUP(B11,'Bảng tra cứu'!$A$2:$B$1000,2,FALSE())))</f>
        <v/>
      </c>
    </row>
    <row r="12" spans="1:3" x14ac:dyDescent="0.3">
      <c r="A12" s="2"/>
      <c r="B12" s="6" t="str">
        <f t="shared" si="0"/>
        <v/>
      </c>
      <c r="C12" s="6" t="str">
        <f>IF(B12="","",TRIM(VLOOKUP(B12,'Bảng tra cứu'!$A$2:$B$1000,2,FALSE())))</f>
        <v/>
      </c>
    </row>
    <row r="13" spans="1:3" x14ac:dyDescent="0.3">
      <c r="A13" s="2"/>
      <c r="B13" s="6" t="str">
        <f t="shared" si="0"/>
        <v/>
      </c>
      <c r="C13" s="6" t="str">
        <f>IF(B13="","",TRIM(VLOOKUP(B13,'Bảng tra cứu'!$A$2:$B$1000,2,FALSE())))</f>
        <v/>
      </c>
    </row>
    <row r="14" spans="1:3" x14ac:dyDescent="0.3">
      <c r="A14" s="2"/>
      <c r="B14" s="6" t="str">
        <f t="shared" si="0"/>
        <v/>
      </c>
      <c r="C14" s="6" t="str">
        <f>IF(B14="","",TRIM(VLOOKUP(B14,'Bảng tra cứu'!$A$2:$B$1000,2,FALSE())))</f>
        <v/>
      </c>
    </row>
    <row r="15" spans="1:3" x14ac:dyDescent="0.3">
      <c r="A15" s="2"/>
      <c r="B15" s="6" t="str">
        <f t="shared" si="0"/>
        <v/>
      </c>
      <c r="C15" s="6" t="str">
        <f>IF(B15="","",TRIM(VLOOKUP(B15,'Bảng tra cứu'!$A$2:$B$1000,2,FALSE())))</f>
        <v/>
      </c>
    </row>
    <row r="16" spans="1:3" x14ac:dyDescent="0.3">
      <c r="A16" s="2"/>
      <c r="B16" s="6" t="str">
        <f t="shared" si="0"/>
        <v/>
      </c>
      <c r="C16" s="6" t="str">
        <f>IF(B16="","",TRIM(VLOOKUP(B16,'Bảng tra cứu'!$A$2:$B$1000,2,FALSE())))</f>
        <v/>
      </c>
    </row>
    <row r="17" spans="1:3" x14ac:dyDescent="0.3">
      <c r="A17" s="2"/>
      <c r="B17" s="6" t="str">
        <f t="shared" si="0"/>
        <v/>
      </c>
      <c r="C17" s="6" t="str">
        <f>IF(B17="","",TRIM(VLOOKUP(B17,'Bảng tra cứu'!$A$2:$B$1000,2,FALSE())))</f>
        <v/>
      </c>
    </row>
    <row r="18" spans="1:3" x14ac:dyDescent="0.3">
      <c r="A18" s="2"/>
      <c r="B18" s="6" t="str">
        <f t="shared" si="0"/>
        <v/>
      </c>
      <c r="C18" s="6" t="str">
        <f>IF(B18="","",TRIM(VLOOKUP(B18,'Bảng tra cứu'!$A$2:$B$1000,2,FALSE())))</f>
        <v/>
      </c>
    </row>
    <row r="19" spans="1:3" x14ac:dyDescent="0.3">
      <c r="A19" s="2"/>
      <c r="B19" s="6" t="str">
        <f t="shared" si="0"/>
        <v/>
      </c>
      <c r="C19" s="6" t="str">
        <f>IF(B19="","",TRIM(VLOOKUP(B19,'Bảng tra cứu'!$A$2:$B$1000,2,FALSE())))</f>
        <v/>
      </c>
    </row>
    <row r="20" spans="1:3" x14ac:dyDescent="0.3">
      <c r="A20" s="2"/>
      <c r="B20" s="6" t="str">
        <f t="shared" si="0"/>
        <v/>
      </c>
      <c r="C20" s="6" t="str">
        <f>IF(B20="","",TRIM(VLOOKUP(B20,'Bảng tra cứu'!$A$2:$B$1000,2,FALSE())))</f>
        <v/>
      </c>
    </row>
    <row r="21" spans="1:3" x14ac:dyDescent="0.3">
      <c r="A21" s="2"/>
      <c r="B21" s="6" t="str">
        <f t="shared" si="0"/>
        <v/>
      </c>
      <c r="C21" s="6" t="str">
        <f>IF(B21="","",TRIM(VLOOKUP(B21,'Bảng tra cứu'!$A$2:$B$1000,2,FALSE())))</f>
        <v/>
      </c>
    </row>
    <row r="22" spans="1:3" x14ac:dyDescent="0.3">
      <c r="A22" s="2"/>
      <c r="B22" s="6" t="str">
        <f t="shared" si="0"/>
        <v/>
      </c>
      <c r="C22" s="6" t="str">
        <f>IF(B22="","",TRIM(VLOOKUP(B22,'Bảng tra cứu'!$A$2:$B$1000,2,FALSE())))</f>
        <v/>
      </c>
    </row>
    <row r="23" spans="1:3" x14ac:dyDescent="0.3">
      <c r="A23" s="2"/>
      <c r="B23" s="6" t="str">
        <f t="shared" si="0"/>
        <v/>
      </c>
      <c r="C23" s="6" t="str">
        <f>IF(B23="","",TRIM(VLOOKUP(B23,'Bảng tra cứu'!$A$2:$B$1000,2,FALSE())))</f>
        <v/>
      </c>
    </row>
    <row r="24" spans="1:3" x14ac:dyDescent="0.3">
      <c r="A24" s="2"/>
      <c r="B24" s="6" t="str">
        <f t="shared" si="0"/>
        <v/>
      </c>
      <c r="C24" s="6" t="str">
        <f>IF(B24="","",TRIM(VLOOKUP(B24,'Bảng tra cứu'!$A$2:$B$1000,2,FALSE())))</f>
        <v/>
      </c>
    </row>
    <row r="25" spans="1:3" x14ac:dyDescent="0.3">
      <c r="A25" s="2"/>
      <c r="B25" s="6" t="str">
        <f t="shared" si="0"/>
        <v/>
      </c>
      <c r="C25" s="6" t="str">
        <f>IF(B25="","",TRIM(VLOOKUP(B25,'Bảng tra cứu'!$A$2:$B$1000,2,FALSE())))</f>
        <v/>
      </c>
    </row>
    <row r="26" spans="1:3" x14ac:dyDescent="0.3">
      <c r="A26" s="2"/>
      <c r="B26" s="6" t="str">
        <f t="shared" si="0"/>
        <v/>
      </c>
      <c r="C26" s="6" t="str">
        <f>IF(B26="","",TRIM(VLOOKUP(B26,'Bảng tra cứu'!$A$2:$B$1000,2,FALSE())))</f>
        <v/>
      </c>
    </row>
    <row r="27" spans="1:3" x14ac:dyDescent="0.3">
      <c r="A27" s="2"/>
      <c r="B27" s="6" t="str">
        <f t="shared" si="0"/>
        <v/>
      </c>
      <c r="C27" s="6" t="str">
        <f>IF(B27="","",TRIM(VLOOKUP(B27,'Bảng tra cứu'!$A$2:$B$1000,2,FALSE())))</f>
        <v/>
      </c>
    </row>
    <row r="28" spans="1:3" x14ac:dyDescent="0.3">
      <c r="A28" s="2"/>
      <c r="B28" s="6" t="str">
        <f t="shared" si="0"/>
        <v/>
      </c>
      <c r="C28" s="6" t="str">
        <f>IF(B28="","",TRIM(VLOOKUP(B28,'Bảng tra cứu'!$A$2:$B$1000,2,FALSE())))</f>
        <v/>
      </c>
    </row>
    <row r="29" spans="1:3" x14ac:dyDescent="0.3">
      <c r="A29" s="2"/>
      <c r="B29" s="6" t="str">
        <f t="shared" si="0"/>
        <v/>
      </c>
      <c r="C29" s="6" t="str">
        <f>IF(B29="","",TRIM(VLOOKUP(B29,'Bảng tra cứu'!$A$2:$B$1000,2,FALSE())))</f>
        <v/>
      </c>
    </row>
    <row r="30" spans="1:3" x14ac:dyDescent="0.3">
      <c r="A30" s="2"/>
      <c r="B30" s="6" t="str">
        <f t="shared" si="0"/>
        <v/>
      </c>
      <c r="C30" s="6" t="str">
        <f>IF(B30="","",TRIM(VLOOKUP(B30,'Bảng tra cứu'!$A$2:$B$1000,2,FALSE())))</f>
        <v/>
      </c>
    </row>
    <row r="31" spans="1:3" x14ac:dyDescent="0.3">
      <c r="A31" s="2"/>
      <c r="B31" s="6" t="str">
        <f t="shared" si="0"/>
        <v/>
      </c>
      <c r="C31" s="6" t="str">
        <f>IF(B31="","",TRIM(VLOOKUP(B31,'Bảng tra cứu'!$A$2:$B$1000,2,FALSE())))</f>
        <v/>
      </c>
    </row>
    <row r="32" spans="1:3" x14ac:dyDescent="0.3">
      <c r="A32" s="2"/>
      <c r="B32" s="6" t="str">
        <f t="shared" si="0"/>
        <v/>
      </c>
      <c r="C32" s="6" t="str">
        <f>IF(B32="","",TRIM(VLOOKUP(B32,'Bảng tra cứu'!$A$2:$B$1000,2,FALSE())))</f>
        <v/>
      </c>
    </row>
    <row r="33" spans="1:3" x14ac:dyDescent="0.3">
      <c r="A33" s="2"/>
      <c r="B33" s="6" t="str">
        <f t="shared" si="0"/>
        <v/>
      </c>
      <c r="C33" s="6" t="str">
        <f>IF(B33="","",TRIM(VLOOKUP(B33,'Bảng tra cứu'!$A$2:$B$1000,2,FALSE())))</f>
        <v/>
      </c>
    </row>
    <row r="34" spans="1:3" x14ac:dyDescent="0.3">
      <c r="A34" s="2"/>
      <c r="B34" s="6" t="str">
        <f t="shared" ref="B34:B65" si="1">IF(A34="","",TRIM(A34))</f>
        <v/>
      </c>
      <c r="C34" s="6" t="str">
        <f>IF(B34="","",TRIM(VLOOKUP(B34,'Bảng tra cứu'!$A$2:$B$1000,2,FALSE())))</f>
        <v/>
      </c>
    </row>
    <row r="35" spans="1:3" x14ac:dyDescent="0.3">
      <c r="A35" s="2"/>
      <c r="B35" s="6" t="str">
        <f t="shared" si="1"/>
        <v/>
      </c>
      <c r="C35" s="6" t="str">
        <f>IF(B35="","",TRIM(VLOOKUP(B35,'Bảng tra cứu'!$A$2:$B$1000,2,FALSE())))</f>
        <v/>
      </c>
    </row>
    <row r="36" spans="1:3" x14ac:dyDescent="0.3">
      <c r="A36" s="2"/>
      <c r="B36" s="6" t="str">
        <f t="shared" si="1"/>
        <v/>
      </c>
      <c r="C36" s="6" t="str">
        <f>IF(B36="","",TRIM(VLOOKUP(B36,'Bảng tra cứu'!$A$2:$B$1000,2,FALSE())))</f>
        <v/>
      </c>
    </row>
    <row r="37" spans="1:3" x14ac:dyDescent="0.3">
      <c r="A37" s="2"/>
      <c r="B37" s="6" t="str">
        <f t="shared" si="1"/>
        <v/>
      </c>
      <c r="C37" s="6" t="str">
        <f>IF(B37="","",TRIM(VLOOKUP(B37,'Bảng tra cứu'!$A$2:$B$1000,2,FALSE())))</f>
        <v/>
      </c>
    </row>
    <row r="38" spans="1:3" x14ac:dyDescent="0.3">
      <c r="A38" s="2"/>
      <c r="B38" s="6" t="str">
        <f t="shared" si="1"/>
        <v/>
      </c>
      <c r="C38" s="6" t="str">
        <f>IF(B38="","",TRIM(VLOOKUP(B38,'Bảng tra cứu'!$A$2:$B$1000,2,FALSE())))</f>
        <v/>
      </c>
    </row>
    <row r="39" spans="1:3" x14ac:dyDescent="0.3">
      <c r="A39" s="2"/>
      <c r="B39" s="6" t="str">
        <f t="shared" si="1"/>
        <v/>
      </c>
      <c r="C39" s="6" t="str">
        <f>IF(B39="","",TRIM(VLOOKUP(B39,'Bảng tra cứu'!$A$2:$B$1000,2,FALSE())))</f>
        <v/>
      </c>
    </row>
    <row r="40" spans="1:3" x14ac:dyDescent="0.3">
      <c r="A40" s="2"/>
      <c r="B40" s="6" t="str">
        <f t="shared" si="1"/>
        <v/>
      </c>
      <c r="C40" s="6" t="str">
        <f>IF(B40="","",TRIM(VLOOKUP(B40,'Bảng tra cứu'!$A$2:$B$1000,2,FALSE())))</f>
        <v/>
      </c>
    </row>
    <row r="41" spans="1:3" x14ac:dyDescent="0.3">
      <c r="A41" s="2"/>
      <c r="B41" s="6" t="str">
        <f t="shared" si="1"/>
        <v/>
      </c>
      <c r="C41" s="6" t="str">
        <f>IF(B41="","",TRIM(VLOOKUP(B41,'Bảng tra cứu'!$A$2:$B$1000,2,FALSE())))</f>
        <v/>
      </c>
    </row>
    <row r="42" spans="1:3" x14ac:dyDescent="0.3">
      <c r="A42" s="2"/>
      <c r="B42" s="6" t="str">
        <f t="shared" si="1"/>
        <v/>
      </c>
      <c r="C42" s="6" t="str">
        <f>IF(B42="","",TRIM(VLOOKUP(B42,'Bảng tra cứu'!$A$2:$B$1000,2,FALSE())))</f>
        <v/>
      </c>
    </row>
    <row r="43" spans="1:3" x14ac:dyDescent="0.3">
      <c r="A43" s="2"/>
      <c r="B43" s="6" t="str">
        <f t="shared" si="1"/>
        <v/>
      </c>
      <c r="C43" s="6" t="str">
        <f>IF(B43="","",TRIM(VLOOKUP(B43,'Bảng tra cứu'!$A$2:$B$1000,2,FALSE())))</f>
        <v/>
      </c>
    </row>
    <row r="44" spans="1:3" x14ac:dyDescent="0.3">
      <c r="A44" s="2"/>
      <c r="B44" s="6" t="str">
        <f t="shared" si="1"/>
        <v/>
      </c>
      <c r="C44" s="6" t="str">
        <f>IF(B44="","",TRIM(VLOOKUP(B44,'Bảng tra cứu'!$A$2:$B$1000,2,FALSE())))</f>
        <v/>
      </c>
    </row>
    <row r="45" spans="1:3" x14ac:dyDescent="0.3">
      <c r="A45" s="2"/>
      <c r="B45" s="6" t="str">
        <f t="shared" si="1"/>
        <v/>
      </c>
      <c r="C45" s="6" t="str">
        <f>IF(B45="","",TRIM(VLOOKUP(B45,'Bảng tra cứu'!$A$2:$B$1000,2,FALSE())))</f>
        <v/>
      </c>
    </row>
    <row r="46" spans="1:3" x14ac:dyDescent="0.3">
      <c r="A46" s="2"/>
      <c r="B46" s="6" t="str">
        <f t="shared" si="1"/>
        <v/>
      </c>
      <c r="C46" s="6" t="str">
        <f>IF(B46="","",TRIM(VLOOKUP(B46,'Bảng tra cứu'!$A$2:$B$1000,2,FALSE())))</f>
        <v/>
      </c>
    </row>
    <row r="47" spans="1:3" x14ac:dyDescent="0.3">
      <c r="A47" s="2"/>
      <c r="B47" s="6" t="str">
        <f t="shared" si="1"/>
        <v/>
      </c>
      <c r="C47" s="6" t="str">
        <f>IF(B47="","",TRIM(VLOOKUP(B47,'Bảng tra cứu'!$A$2:$B$1000,2,FALSE())))</f>
        <v/>
      </c>
    </row>
    <row r="48" spans="1:3" x14ac:dyDescent="0.3">
      <c r="A48" s="2"/>
      <c r="B48" s="6" t="str">
        <f t="shared" si="1"/>
        <v/>
      </c>
      <c r="C48" s="6" t="str">
        <f>IF(B48="","",TRIM(VLOOKUP(B48,'Bảng tra cứu'!$A$2:$B$1000,2,FALSE())))</f>
        <v/>
      </c>
    </row>
    <row r="49" spans="1:3" x14ac:dyDescent="0.3">
      <c r="A49" s="2"/>
      <c r="B49" s="6" t="str">
        <f t="shared" si="1"/>
        <v/>
      </c>
      <c r="C49" s="6" t="str">
        <f>IF(B49="","",TRIM(VLOOKUP(B49,'Bảng tra cứu'!$A$2:$B$1000,2,FALSE())))</f>
        <v/>
      </c>
    </row>
    <row r="50" spans="1:3" x14ac:dyDescent="0.3">
      <c r="A50" s="2"/>
      <c r="B50" s="6" t="str">
        <f t="shared" si="1"/>
        <v/>
      </c>
      <c r="C50" s="6" t="str">
        <f>IF(B50="","",TRIM(VLOOKUP(B50,'Bảng tra cứu'!$A$2:$B$1000,2,FALSE())))</f>
        <v/>
      </c>
    </row>
    <row r="51" spans="1:3" x14ac:dyDescent="0.3">
      <c r="A51" s="2"/>
      <c r="B51" s="6" t="str">
        <f t="shared" si="1"/>
        <v/>
      </c>
      <c r="C51" s="6" t="str">
        <f>IF(B51="","",TRIM(VLOOKUP(B51,'Bảng tra cứu'!$A$2:$B$1000,2,FALSE())))</f>
        <v/>
      </c>
    </row>
    <row r="52" spans="1:3" x14ac:dyDescent="0.3">
      <c r="A52" s="2"/>
      <c r="B52" s="6" t="str">
        <f t="shared" si="1"/>
        <v/>
      </c>
      <c r="C52" s="6" t="str">
        <f>IF(B52="","",TRIM(VLOOKUP(B52,'Bảng tra cứu'!$A$2:$B$1000,2,FALSE())))</f>
        <v/>
      </c>
    </row>
    <row r="53" spans="1:3" x14ac:dyDescent="0.3">
      <c r="A53" s="2"/>
      <c r="B53" s="6" t="str">
        <f t="shared" si="1"/>
        <v/>
      </c>
      <c r="C53" s="6" t="str">
        <f>IF(B53="","",TRIM(VLOOKUP(B53,'Bảng tra cứu'!$A$2:$B$1000,2,FALSE())))</f>
        <v/>
      </c>
    </row>
    <row r="54" spans="1:3" x14ac:dyDescent="0.3">
      <c r="A54" s="2"/>
      <c r="B54" s="6" t="str">
        <f t="shared" si="1"/>
        <v/>
      </c>
      <c r="C54" s="6" t="str">
        <f>IF(B54="","",TRIM(VLOOKUP(B54,'Bảng tra cứu'!$A$2:$B$1000,2,FALSE())))</f>
        <v/>
      </c>
    </row>
    <row r="55" spans="1:3" x14ac:dyDescent="0.3">
      <c r="A55" s="2"/>
      <c r="B55" s="6" t="str">
        <f t="shared" si="1"/>
        <v/>
      </c>
      <c r="C55" s="6" t="str">
        <f>IF(B55="","",TRIM(VLOOKUP(B55,'Bảng tra cứu'!$A$2:$B$1000,2,FALSE())))</f>
        <v/>
      </c>
    </row>
    <row r="56" spans="1:3" x14ac:dyDescent="0.3">
      <c r="A56" s="2"/>
      <c r="B56" s="6" t="str">
        <f t="shared" si="1"/>
        <v/>
      </c>
      <c r="C56" s="6" t="str">
        <f>IF(B56="","",TRIM(VLOOKUP(B56,'Bảng tra cứu'!$A$2:$B$1000,2,FALSE())))</f>
        <v/>
      </c>
    </row>
    <row r="57" spans="1:3" x14ac:dyDescent="0.3">
      <c r="A57" s="2"/>
      <c r="B57" s="6" t="str">
        <f t="shared" si="1"/>
        <v/>
      </c>
      <c r="C57" s="6" t="str">
        <f>IF(B57="","",TRIM(VLOOKUP(B57,'Bảng tra cứu'!$A$2:$B$1000,2,FALSE())))</f>
        <v/>
      </c>
    </row>
    <row r="58" spans="1:3" x14ac:dyDescent="0.3">
      <c r="A58" s="2"/>
      <c r="B58" s="6" t="str">
        <f t="shared" si="1"/>
        <v/>
      </c>
      <c r="C58" s="6" t="str">
        <f>IF(B58="","",TRIM(VLOOKUP(B58,'Bảng tra cứu'!$A$2:$B$1000,2,FALSE())))</f>
        <v/>
      </c>
    </row>
    <row r="59" spans="1:3" x14ac:dyDescent="0.3">
      <c r="A59" s="2"/>
      <c r="B59" s="6" t="str">
        <f t="shared" si="1"/>
        <v/>
      </c>
      <c r="C59" s="6" t="str">
        <f>IF(B59="","",TRIM(VLOOKUP(B59,'Bảng tra cứu'!$A$2:$B$1000,2,FALSE())))</f>
        <v/>
      </c>
    </row>
    <row r="60" spans="1:3" x14ac:dyDescent="0.3">
      <c r="A60" s="2"/>
      <c r="B60" s="6" t="str">
        <f t="shared" si="1"/>
        <v/>
      </c>
      <c r="C60" s="6" t="str">
        <f>IF(B60="","",TRIM(VLOOKUP(B60,'Bảng tra cứu'!$A$2:$B$1000,2,FALSE())))</f>
        <v/>
      </c>
    </row>
    <row r="61" spans="1:3" x14ac:dyDescent="0.3">
      <c r="A61" s="2"/>
      <c r="B61" s="6" t="str">
        <f t="shared" si="1"/>
        <v/>
      </c>
      <c r="C61" s="6" t="str">
        <f>IF(B61="","",TRIM(VLOOKUP(B61,'Bảng tra cứu'!$A$2:$B$1000,2,FALSE())))</f>
        <v/>
      </c>
    </row>
    <row r="62" spans="1:3" x14ac:dyDescent="0.3">
      <c r="A62" s="2"/>
      <c r="B62" s="6" t="str">
        <f t="shared" si="1"/>
        <v/>
      </c>
      <c r="C62" s="6" t="str">
        <f>IF(B62="","",TRIM(VLOOKUP(B62,'Bảng tra cứu'!$A$2:$B$1000,2,FALSE())))</f>
        <v/>
      </c>
    </row>
    <row r="63" spans="1:3" x14ac:dyDescent="0.3">
      <c r="A63" s="2"/>
      <c r="B63" s="6" t="str">
        <f t="shared" si="1"/>
        <v/>
      </c>
      <c r="C63" s="6" t="str">
        <f>IF(B63="","",TRIM(VLOOKUP(B63,'Bảng tra cứu'!$A$2:$B$1000,2,FALSE())))</f>
        <v/>
      </c>
    </row>
    <row r="64" spans="1:3" x14ac:dyDescent="0.3">
      <c r="A64" s="2"/>
      <c r="B64" s="6" t="str">
        <f t="shared" si="1"/>
        <v/>
      </c>
      <c r="C64" s="6" t="str">
        <f>IF(B64="","",TRIM(VLOOKUP(B64,'Bảng tra cứu'!$A$2:$B$1000,2,FALSE())))</f>
        <v/>
      </c>
    </row>
    <row r="65" spans="1:3" x14ac:dyDescent="0.3">
      <c r="A65" s="2"/>
      <c r="B65" s="6" t="str">
        <f t="shared" si="1"/>
        <v/>
      </c>
      <c r="C65" s="6" t="str">
        <f>IF(B65="","",TRIM(VLOOKUP(B65,'Bảng tra cứu'!$A$2:$B$1000,2,FALSE())))</f>
        <v/>
      </c>
    </row>
    <row r="66" spans="1:3" x14ac:dyDescent="0.3">
      <c r="A66" s="2"/>
      <c r="B66" s="6" t="str">
        <f t="shared" ref="B66:B97" si="2">IF(A66="","",TRIM(A66))</f>
        <v/>
      </c>
      <c r="C66" s="6" t="str">
        <f>IF(B66="","",TRIM(VLOOKUP(B66,'Bảng tra cứu'!$A$2:$B$1000,2,FALSE())))</f>
        <v/>
      </c>
    </row>
    <row r="67" spans="1:3" x14ac:dyDescent="0.3">
      <c r="A67" s="2"/>
      <c r="B67" s="6" t="str">
        <f t="shared" si="2"/>
        <v/>
      </c>
      <c r="C67" s="6" t="str">
        <f>IF(B67="","",TRIM(VLOOKUP(B67,'Bảng tra cứu'!$A$2:$B$1000,2,FALSE())))</f>
        <v/>
      </c>
    </row>
    <row r="68" spans="1:3" x14ac:dyDescent="0.3">
      <c r="A68" s="2"/>
      <c r="B68" s="6" t="str">
        <f t="shared" si="2"/>
        <v/>
      </c>
      <c r="C68" s="6" t="str">
        <f>IF(B68="","",TRIM(VLOOKUP(B68,'Bảng tra cứu'!$A$2:$B$1000,2,FALSE())))</f>
        <v/>
      </c>
    </row>
    <row r="69" spans="1:3" x14ac:dyDescent="0.3">
      <c r="A69" s="2"/>
      <c r="B69" s="6" t="str">
        <f t="shared" si="2"/>
        <v/>
      </c>
      <c r="C69" s="6" t="str">
        <f>IF(B69="","",TRIM(VLOOKUP(B69,'Bảng tra cứu'!$A$2:$B$1000,2,FALSE())))</f>
        <v/>
      </c>
    </row>
    <row r="70" spans="1:3" x14ac:dyDescent="0.3">
      <c r="A70" s="2"/>
      <c r="B70" s="6" t="str">
        <f t="shared" si="2"/>
        <v/>
      </c>
      <c r="C70" s="6" t="str">
        <f>IF(B70="","",TRIM(VLOOKUP(B70,'Bảng tra cứu'!$A$2:$B$1000,2,FALSE())))</f>
        <v/>
      </c>
    </row>
    <row r="71" spans="1:3" x14ac:dyDescent="0.3">
      <c r="A71" s="2"/>
      <c r="B71" s="6" t="str">
        <f t="shared" si="2"/>
        <v/>
      </c>
      <c r="C71" s="6" t="str">
        <f>IF(B71="","",TRIM(VLOOKUP(B71,'Bảng tra cứu'!$A$2:$B$1000,2,FALSE())))</f>
        <v/>
      </c>
    </row>
    <row r="72" spans="1:3" x14ac:dyDescent="0.3">
      <c r="A72" s="2"/>
      <c r="B72" s="6" t="str">
        <f t="shared" si="2"/>
        <v/>
      </c>
      <c r="C72" s="6" t="str">
        <f>IF(B72="","",TRIM(VLOOKUP(B72,'Bảng tra cứu'!$A$2:$B$1000,2,FALSE())))</f>
        <v/>
      </c>
    </row>
    <row r="73" spans="1:3" x14ac:dyDescent="0.3">
      <c r="A73" s="2"/>
      <c r="B73" s="6" t="str">
        <f t="shared" si="2"/>
        <v/>
      </c>
      <c r="C73" s="6" t="str">
        <f>IF(B73="","",TRIM(VLOOKUP(B73,'Bảng tra cứu'!$A$2:$B$1000,2,FALSE())))</f>
        <v/>
      </c>
    </row>
    <row r="74" spans="1:3" x14ac:dyDescent="0.3">
      <c r="A74" s="2"/>
      <c r="B74" s="6" t="str">
        <f t="shared" si="2"/>
        <v/>
      </c>
      <c r="C74" s="6" t="str">
        <f>IF(B74="","",TRIM(VLOOKUP(B74,'Bảng tra cứu'!$A$2:$B$1000,2,FALSE())))</f>
        <v/>
      </c>
    </row>
    <row r="75" spans="1:3" x14ac:dyDescent="0.3">
      <c r="A75" s="2"/>
      <c r="B75" s="6" t="str">
        <f t="shared" si="2"/>
        <v/>
      </c>
      <c r="C75" s="6" t="str">
        <f>IF(B75="","",TRIM(VLOOKUP(B75,'Bảng tra cứu'!$A$2:$B$1000,2,FALSE())))</f>
        <v/>
      </c>
    </row>
    <row r="76" spans="1:3" x14ac:dyDescent="0.3">
      <c r="A76" s="2"/>
      <c r="B76" s="6" t="str">
        <f t="shared" si="2"/>
        <v/>
      </c>
      <c r="C76" s="6" t="str">
        <f>IF(B76="","",TRIM(VLOOKUP(B76,'Bảng tra cứu'!$A$2:$B$1000,2,FALSE())))</f>
        <v/>
      </c>
    </row>
    <row r="77" spans="1:3" x14ac:dyDescent="0.3">
      <c r="A77" s="2"/>
      <c r="B77" s="6" t="str">
        <f t="shared" si="2"/>
        <v/>
      </c>
      <c r="C77" s="6" t="str">
        <f>IF(B77="","",TRIM(VLOOKUP(B77,'Bảng tra cứu'!$A$2:$B$1000,2,FALSE())))</f>
        <v/>
      </c>
    </row>
    <row r="78" spans="1:3" x14ac:dyDescent="0.3">
      <c r="A78" s="2"/>
      <c r="B78" s="6" t="str">
        <f t="shared" si="2"/>
        <v/>
      </c>
      <c r="C78" s="6" t="str">
        <f>IF(B78="","",TRIM(VLOOKUP(B78,'Bảng tra cứu'!$A$2:$B$1000,2,FALSE())))</f>
        <v/>
      </c>
    </row>
    <row r="79" spans="1:3" x14ac:dyDescent="0.3">
      <c r="A79" s="2"/>
      <c r="B79" s="6" t="str">
        <f t="shared" si="2"/>
        <v/>
      </c>
      <c r="C79" s="6" t="str">
        <f>IF(B79="","",TRIM(VLOOKUP(B79,'Bảng tra cứu'!$A$2:$B$1000,2,FALSE())))</f>
        <v/>
      </c>
    </row>
    <row r="80" spans="1:3" x14ac:dyDescent="0.3">
      <c r="A80" s="2"/>
      <c r="B80" s="6" t="str">
        <f t="shared" si="2"/>
        <v/>
      </c>
      <c r="C80" s="6" t="str">
        <f>IF(B80="","",TRIM(VLOOKUP(B80,'Bảng tra cứu'!$A$2:$B$1000,2,FALSE())))</f>
        <v/>
      </c>
    </row>
    <row r="81" spans="1:3" x14ac:dyDescent="0.3">
      <c r="A81" s="2"/>
      <c r="B81" s="6" t="str">
        <f t="shared" si="2"/>
        <v/>
      </c>
      <c r="C81" s="6" t="str">
        <f>IF(B81="","",TRIM(VLOOKUP(B81,'Bảng tra cứu'!$A$2:$B$1000,2,FALSE())))</f>
        <v/>
      </c>
    </row>
    <row r="82" spans="1:3" x14ac:dyDescent="0.3">
      <c r="A82" s="2"/>
      <c r="B82" s="6" t="str">
        <f t="shared" si="2"/>
        <v/>
      </c>
      <c r="C82" s="6" t="str">
        <f>IF(B82="","",TRIM(VLOOKUP(B82,'Bảng tra cứu'!$A$2:$B$1000,2,FALSE())))</f>
        <v/>
      </c>
    </row>
    <row r="83" spans="1:3" x14ac:dyDescent="0.3">
      <c r="A83" s="2"/>
      <c r="B83" s="6" t="str">
        <f t="shared" si="2"/>
        <v/>
      </c>
      <c r="C83" s="6" t="str">
        <f>IF(B83="","",TRIM(VLOOKUP(B83,'Bảng tra cứu'!$A$2:$B$1000,2,FALSE())))</f>
        <v/>
      </c>
    </row>
    <row r="84" spans="1:3" x14ac:dyDescent="0.3">
      <c r="A84" s="2"/>
      <c r="B84" s="6" t="str">
        <f t="shared" si="2"/>
        <v/>
      </c>
      <c r="C84" s="6" t="str">
        <f>IF(B84="","",TRIM(VLOOKUP(B84,'Bảng tra cứu'!$A$2:$B$1000,2,FALSE())))</f>
        <v/>
      </c>
    </row>
    <row r="85" spans="1:3" x14ac:dyDescent="0.3">
      <c r="A85" s="2"/>
      <c r="B85" s="6" t="str">
        <f t="shared" si="2"/>
        <v/>
      </c>
      <c r="C85" s="6" t="str">
        <f>IF(B85="","",TRIM(VLOOKUP(B85,'Bảng tra cứu'!$A$2:$B$1000,2,FALSE())))</f>
        <v/>
      </c>
    </row>
    <row r="86" spans="1:3" x14ac:dyDescent="0.3">
      <c r="A86" s="2"/>
      <c r="B86" s="6" t="str">
        <f t="shared" si="2"/>
        <v/>
      </c>
      <c r="C86" s="6" t="str">
        <f>IF(B86="","",TRIM(VLOOKUP(B86,'Bảng tra cứu'!$A$2:$B$1000,2,FALSE())))</f>
        <v/>
      </c>
    </row>
    <row r="87" spans="1:3" x14ac:dyDescent="0.3">
      <c r="A87" s="2"/>
      <c r="B87" s="6" t="str">
        <f t="shared" si="2"/>
        <v/>
      </c>
      <c r="C87" s="6" t="str">
        <f>IF(B87="","",TRIM(VLOOKUP(B87,'Bảng tra cứu'!$A$2:$B$1000,2,FALSE())))</f>
        <v/>
      </c>
    </row>
    <row r="88" spans="1:3" x14ac:dyDescent="0.3">
      <c r="A88" s="2"/>
      <c r="B88" s="6" t="str">
        <f t="shared" si="2"/>
        <v/>
      </c>
      <c r="C88" s="6" t="str">
        <f>IF(B88="","",TRIM(VLOOKUP(B88,'Bảng tra cứu'!$A$2:$B$1000,2,FALSE())))</f>
        <v/>
      </c>
    </row>
    <row r="89" spans="1:3" x14ac:dyDescent="0.3">
      <c r="A89" s="2"/>
      <c r="B89" s="6" t="str">
        <f t="shared" si="2"/>
        <v/>
      </c>
      <c r="C89" s="6" t="str">
        <f>IF(B89="","",TRIM(VLOOKUP(B89,'Bảng tra cứu'!$A$2:$B$1000,2,FALSE())))</f>
        <v/>
      </c>
    </row>
    <row r="90" spans="1:3" x14ac:dyDescent="0.3">
      <c r="A90" s="2"/>
      <c r="B90" s="6" t="str">
        <f t="shared" si="2"/>
        <v/>
      </c>
      <c r="C90" s="6" t="str">
        <f>IF(B90="","",TRIM(VLOOKUP(B90,'Bảng tra cứu'!$A$2:$B$1000,2,FALSE())))</f>
        <v/>
      </c>
    </row>
    <row r="91" spans="1:3" x14ac:dyDescent="0.3">
      <c r="A91" s="2"/>
      <c r="B91" s="6" t="str">
        <f t="shared" si="2"/>
        <v/>
      </c>
      <c r="C91" s="6" t="str">
        <f>IF(B91="","",TRIM(VLOOKUP(B91,'Bảng tra cứu'!$A$2:$B$1000,2,FALSE())))</f>
        <v/>
      </c>
    </row>
    <row r="92" spans="1:3" x14ac:dyDescent="0.3">
      <c r="A92" s="2"/>
      <c r="B92" s="6" t="str">
        <f t="shared" si="2"/>
        <v/>
      </c>
      <c r="C92" s="6" t="str">
        <f>IF(B92="","",TRIM(VLOOKUP(B92,'Bảng tra cứu'!$A$2:$B$1000,2,FALSE())))</f>
        <v/>
      </c>
    </row>
    <row r="93" spans="1:3" x14ac:dyDescent="0.3">
      <c r="A93" s="2"/>
      <c r="B93" s="6" t="str">
        <f t="shared" si="2"/>
        <v/>
      </c>
      <c r="C93" s="6" t="str">
        <f>IF(B93="","",TRIM(VLOOKUP(B93,'Bảng tra cứu'!$A$2:$B$1000,2,FALSE())))</f>
        <v/>
      </c>
    </row>
    <row r="94" spans="1:3" x14ac:dyDescent="0.3">
      <c r="A94" s="2"/>
      <c r="B94" s="6" t="str">
        <f t="shared" si="2"/>
        <v/>
      </c>
      <c r="C94" s="6" t="str">
        <f>IF(B94="","",TRIM(VLOOKUP(B94,'Bảng tra cứu'!$A$2:$B$1000,2,FALSE())))</f>
        <v/>
      </c>
    </row>
    <row r="95" spans="1:3" x14ac:dyDescent="0.3">
      <c r="A95" s="2"/>
      <c r="B95" s="6" t="str">
        <f t="shared" si="2"/>
        <v/>
      </c>
      <c r="C95" s="6" t="str">
        <f>IF(B95="","",TRIM(VLOOKUP(B95,'Bảng tra cứu'!$A$2:$B$1000,2,FALSE())))</f>
        <v/>
      </c>
    </row>
    <row r="96" spans="1:3" x14ac:dyDescent="0.3">
      <c r="A96" s="2"/>
      <c r="B96" s="6" t="str">
        <f t="shared" si="2"/>
        <v/>
      </c>
      <c r="C96" s="6" t="str">
        <f>IF(B96="","",TRIM(VLOOKUP(B96,'Bảng tra cứu'!$A$2:$B$1000,2,FALSE())))</f>
        <v/>
      </c>
    </row>
    <row r="97" spans="1:3" x14ac:dyDescent="0.3">
      <c r="A97" s="2"/>
      <c r="B97" s="6" t="str">
        <f t="shared" si="2"/>
        <v/>
      </c>
      <c r="C97" s="6" t="str">
        <f>IF(B97="","",TRIM(VLOOKUP(B97,'Bảng tra cứu'!$A$2:$B$1000,2,FALSE())))</f>
        <v/>
      </c>
    </row>
    <row r="98" spans="1:3" x14ac:dyDescent="0.3">
      <c r="A98" s="2"/>
      <c r="B98" s="6" t="str">
        <f t="shared" ref="B98:B129" si="3">IF(A98="","",TRIM(A98))</f>
        <v/>
      </c>
      <c r="C98" s="6" t="str">
        <f>IF(B98="","",TRIM(VLOOKUP(B98,'Bảng tra cứu'!$A$2:$B$1000,2,FALSE())))</f>
        <v/>
      </c>
    </row>
    <row r="99" spans="1:3" x14ac:dyDescent="0.3">
      <c r="A99" s="2"/>
      <c r="B99" s="6" t="str">
        <f t="shared" si="3"/>
        <v/>
      </c>
      <c r="C99" s="6" t="str">
        <f>IF(B99="","",TRIM(VLOOKUP(B99,'Bảng tra cứu'!$A$2:$B$1000,2,FALSE())))</f>
        <v/>
      </c>
    </row>
    <row r="100" spans="1:3" x14ac:dyDescent="0.3">
      <c r="A100" s="2"/>
      <c r="B100" s="6" t="str">
        <f t="shared" si="3"/>
        <v/>
      </c>
      <c r="C100" s="6" t="str">
        <f>IF(B100="","",TRIM(VLOOKUP(B100,'Bảng tra cứu'!$A$2:$B$1000,2,FALSE())))</f>
        <v/>
      </c>
    </row>
    <row r="101" spans="1:3" x14ac:dyDescent="0.3">
      <c r="A101" s="2"/>
      <c r="B101" s="6" t="str">
        <f t="shared" si="3"/>
        <v/>
      </c>
      <c r="C101" s="6" t="str">
        <f>IF(B101="","",TRIM(VLOOKUP(B101,'Bảng tra cứu'!$A$2:$B$1000,2,FALSE())))</f>
        <v/>
      </c>
    </row>
    <row r="102" spans="1:3" x14ac:dyDescent="0.3">
      <c r="A102" s="2"/>
      <c r="B102" s="6" t="str">
        <f t="shared" si="3"/>
        <v/>
      </c>
      <c r="C102" s="6" t="str">
        <f>IF(B102="","",TRIM(VLOOKUP(B102,'Bảng tra cứu'!$A$2:$B$1000,2,FALSE())))</f>
        <v/>
      </c>
    </row>
    <row r="103" spans="1:3" x14ac:dyDescent="0.3">
      <c r="A103" s="2"/>
      <c r="B103" s="6" t="str">
        <f t="shared" si="3"/>
        <v/>
      </c>
      <c r="C103" s="6" t="str">
        <f>IF(B103="","",TRIM(VLOOKUP(B103,'Bảng tra cứu'!$A$2:$B$1000,2,FALSE())))</f>
        <v/>
      </c>
    </row>
    <row r="104" spans="1:3" x14ac:dyDescent="0.3">
      <c r="A104" s="2"/>
      <c r="B104" s="6" t="str">
        <f t="shared" si="3"/>
        <v/>
      </c>
      <c r="C104" s="6" t="str">
        <f>IF(B104="","",TRIM(VLOOKUP(B104,'Bảng tra cứu'!$A$2:$B$1000,2,FALSE())))</f>
        <v/>
      </c>
    </row>
    <row r="105" spans="1:3" x14ac:dyDescent="0.3">
      <c r="A105" s="2"/>
      <c r="B105" s="6" t="str">
        <f t="shared" si="3"/>
        <v/>
      </c>
      <c r="C105" s="6" t="str">
        <f>IF(B105="","",TRIM(VLOOKUP(B105,'Bảng tra cứu'!$A$2:$B$1000,2,FALSE())))</f>
        <v/>
      </c>
    </row>
    <row r="106" spans="1:3" x14ac:dyDescent="0.3">
      <c r="A106" s="2"/>
      <c r="B106" s="6" t="str">
        <f t="shared" si="3"/>
        <v/>
      </c>
      <c r="C106" s="6" t="str">
        <f>IF(B106="","",TRIM(VLOOKUP(B106,'Bảng tra cứu'!$A$2:$B$1000,2,FALSE())))</f>
        <v/>
      </c>
    </row>
    <row r="107" spans="1:3" x14ac:dyDescent="0.3">
      <c r="A107" s="2"/>
      <c r="B107" s="6" t="str">
        <f t="shared" si="3"/>
        <v/>
      </c>
      <c r="C107" s="6" t="str">
        <f>IF(B107="","",TRIM(VLOOKUP(B107,'Bảng tra cứu'!$A$2:$B$1000,2,FALSE())))</f>
        <v/>
      </c>
    </row>
    <row r="108" spans="1:3" x14ac:dyDescent="0.3">
      <c r="A108" s="2"/>
      <c r="B108" s="6" t="str">
        <f t="shared" si="3"/>
        <v/>
      </c>
      <c r="C108" s="6" t="str">
        <f>IF(B108="","",TRIM(VLOOKUP(B108,'Bảng tra cứu'!$A$2:$B$1000,2,FALSE())))</f>
        <v/>
      </c>
    </row>
    <row r="109" spans="1:3" x14ac:dyDescent="0.3">
      <c r="A109" s="2"/>
      <c r="B109" s="6" t="str">
        <f t="shared" si="3"/>
        <v/>
      </c>
      <c r="C109" s="6" t="str">
        <f>IF(B109="","",TRIM(VLOOKUP(B109,'Bảng tra cứu'!$A$2:$B$1000,2,FALSE())))</f>
        <v/>
      </c>
    </row>
    <row r="110" spans="1:3" x14ac:dyDescent="0.3">
      <c r="A110" s="2"/>
      <c r="B110" s="6" t="str">
        <f t="shared" si="3"/>
        <v/>
      </c>
      <c r="C110" s="6" t="str">
        <f>IF(B110="","",TRIM(VLOOKUP(B110,'Bảng tra cứu'!$A$2:$B$1000,2,FALSE())))</f>
        <v/>
      </c>
    </row>
    <row r="111" spans="1:3" x14ac:dyDescent="0.3">
      <c r="A111" s="2"/>
      <c r="B111" s="6" t="str">
        <f t="shared" si="3"/>
        <v/>
      </c>
      <c r="C111" s="6" t="str">
        <f>IF(B111="","",TRIM(VLOOKUP(B111,'Bảng tra cứu'!$A$2:$B$1000,2,FALSE())))</f>
        <v/>
      </c>
    </row>
    <row r="112" spans="1:3" x14ac:dyDescent="0.3">
      <c r="A112" s="2"/>
      <c r="B112" s="6" t="str">
        <f t="shared" si="3"/>
        <v/>
      </c>
      <c r="C112" s="6" t="str">
        <f>IF(B112="","",TRIM(VLOOKUP(B112,'Bảng tra cứu'!$A$2:$B$1000,2,FALSE())))</f>
        <v/>
      </c>
    </row>
    <row r="113" spans="1:3" x14ac:dyDescent="0.3">
      <c r="A113" s="2"/>
      <c r="B113" s="6" t="str">
        <f t="shared" si="3"/>
        <v/>
      </c>
      <c r="C113" s="6" t="str">
        <f>IF(B113="","",TRIM(VLOOKUP(B113,'Bảng tra cứu'!$A$2:$B$1000,2,FALSE())))</f>
        <v/>
      </c>
    </row>
    <row r="114" spans="1:3" x14ac:dyDescent="0.3">
      <c r="A114" s="2"/>
      <c r="B114" s="6" t="str">
        <f t="shared" si="3"/>
        <v/>
      </c>
      <c r="C114" s="6" t="str">
        <f>IF(B114="","",TRIM(VLOOKUP(B114,'Bảng tra cứu'!$A$2:$B$1000,2,FALSE())))</f>
        <v/>
      </c>
    </row>
    <row r="115" spans="1:3" x14ac:dyDescent="0.3">
      <c r="A115" s="2"/>
      <c r="B115" s="6" t="str">
        <f t="shared" si="3"/>
        <v/>
      </c>
      <c r="C115" s="6" t="str">
        <f>IF(B115="","",TRIM(VLOOKUP(B115,'Bảng tra cứu'!$A$2:$B$1000,2,FALSE())))</f>
        <v/>
      </c>
    </row>
    <row r="116" spans="1:3" x14ac:dyDescent="0.3">
      <c r="A116" s="2"/>
      <c r="B116" s="6" t="str">
        <f t="shared" si="3"/>
        <v/>
      </c>
      <c r="C116" s="6" t="str">
        <f>IF(B116="","",TRIM(VLOOKUP(B116,'Bảng tra cứu'!$A$2:$B$1000,2,FALSE())))</f>
        <v/>
      </c>
    </row>
    <row r="117" spans="1:3" x14ac:dyDescent="0.3">
      <c r="A117" s="2"/>
      <c r="B117" s="6" t="str">
        <f t="shared" si="3"/>
        <v/>
      </c>
      <c r="C117" s="6" t="str">
        <f>IF(B117="","",TRIM(VLOOKUP(B117,'Bảng tra cứu'!$A$2:$B$1000,2,FALSE())))</f>
        <v/>
      </c>
    </row>
    <row r="118" spans="1:3" x14ac:dyDescent="0.3">
      <c r="A118" s="2"/>
      <c r="B118" s="6" t="str">
        <f t="shared" si="3"/>
        <v/>
      </c>
      <c r="C118" s="6" t="str">
        <f>IF(B118="","",TRIM(VLOOKUP(B118,'Bảng tra cứu'!$A$2:$B$1000,2,FALSE())))</f>
        <v/>
      </c>
    </row>
    <row r="119" spans="1:3" x14ac:dyDescent="0.3">
      <c r="A119" s="2"/>
      <c r="B119" s="6" t="str">
        <f t="shared" si="3"/>
        <v/>
      </c>
      <c r="C119" s="6" t="str">
        <f>IF(B119="","",TRIM(VLOOKUP(B119,'Bảng tra cứu'!$A$2:$B$1000,2,FALSE())))</f>
        <v/>
      </c>
    </row>
    <row r="120" spans="1:3" x14ac:dyDescent="0.3">
      <c r="A120" s="2"/>
      <c r="B120" s="6" t="str">
        <f t="shared" si="3"/>
        <v/>
      </c>
      <c r="C120" s="6" t="str">
        <f>IF(B120="","",TRIM(VLOOKUP(B120,'Bảng tra cứu'!$A$2:$B$1000,2,FALSE())))</f>
        <v/>
      </c>
    </row>
    <row r="121" spans="1:3" x14ac:dyDescent="0.3">
      <c r="A121" s="2"/>
      <c r="B121" s="6" t="str">
        <f t="shared" si="3"/>
        <v/>
      </c>
      <c r="C121" s="6" t="str">
        <f>IF(B121="","",TRIM(VLOOKUP(B121,'Bảng tra cứu'!$A$2:$B$1000,2,FALSE())))</f>
        <v/>
      </c>
    </row>
    <row r="122" spans="1:3" x14ac:dyDescent="0.3">
      <c r="A122" s="2"/>
      <c r="B122" s="6" t="str">
        <f t="shared" si="3"/>
        <v/>
      </c>
      <c r="C122" s="6" t="str">
        <f>IF(B122="","",TRIM(VLOOKUP(B122,'Bảng tra cứu'!$A$2:$B$1000,2,FALSE())))</f>
        <v/>
      </c>
    </row>
    <row r="123" spans="1:3" x14ac:dyDescent="0.3">
      <c r="A123" s="2"/>
      <c r="B123" s="6" t="str">
        <f t="shared" si="3"/>
        <v/>
      </c>
      <c r="C123" s="6" t="str">
        <f>IF(B123="","",TRIM(VLOOKUP(B123,'Bảng tra cứu'!$A$2:$B$1000,2,FALSE())))</f>
        <v/>
      </c>
    </row>
    <row r="124" spans="1:3" x14ac:dyDescent="0.3">
      <c r="A124" s="2"/>
      <c r="B124" s="6" t="str">
        <f t="shared" si="3"/>
        <v/>
      </c>
      <c r="C124" s="6" t="str">
        <f>IF(B124="","",TRIM(VLOOKUP(B124,'Bảng tra cứu'!$A$2:$B$1000,2,FALSE())))</f>
        <v/>
      </c>
    </row>
    <row r="125" spans="1:3" x14ac:dyDescent="0.3">
      <c r="A125" s="2"/>
      <c r="B125" s="6" t="str">
        <f t="shared" si="3"/>
        <v/>
      </c>
      <c r="C125" s="6" t="str">
        <f>IF(B125="","",TRIM(VLOOKUP(B125,'Bảng tra cứu'!$A$2:$B$1000,2,FALSE())))</f>
        <v/>
      </c>
    </row>
    <row r="126" spans="1:3" x14ac:dyDescent="0.3">
      <c r="A126" s="2"/>
      <c r="B126" s="6" t="str">
        <f t="shared" si="3"/>
        <v/>
      </c>
      <c r="C126" s="6" t="str">
        <f>IF(B126="","",TRIM(VLOOKUP(B126,'Bảng tra cứu'!$A$2:$B$1000,2,FALSE())))</f>
        <v/>
      </c>
    </row>
    <row r="127" spans="1:3" x14ac:dyDescent="0.3">
      <c r="A127" s="2"/>
      <c r="B127" s="6" t="str">
        <f t="shared" si="3"/>
        <v/>
      </c>
      <c r="C127" s="6" t="str">
        <f>IF(B127="","",TRIM(VLOOKUP(B127,'Bảng tra cứu'!$A$2:$B$1000,2,FALSE())))</f>
        <v/>
      </c>
    </row>
    <row r="128" spans="1:3" x14ac:dyDescent="0.3">
      <c r="A128" s="2"/>
      <c r="B128" s="6" t="str">
        <f t="shared" si="3"/>
        <v/>
      </c>
      <c r="C128" s="6" t="str">
        <f>IF(B128="","",TRIM(VLOOKUP(B128,'Bảng tra cứu'!$A$2:$B$1000,2,FALSE())))</f>
        <v/>
      </c>
    </row>
    <row r="129" spans="1:3" x14ac:dyDescent="0.3">
      <c r="A129" s="2"/>
      <c r="B129" s="6" t="str">
        <f t="shared" si="3"/>
        <v/>
      </c>
      <c r="C129" s="6" t="str">
        <f>IF(B129="","",TRIM(VLOOKUP(B129,'Bảng tra cứu'!$A$2:$B$1000,2,FALSE())))</f>
        <v/>
      </c>
    </row>
    <row r="130" spans="1:3" x14ac:dyDescent="0.3">
      <c r="A130" s="2"/>
      <c r="B130" s="6" t="str">
        <f t="shared" ref="B130:B161" si="4">IF(A130="","",TRIM(A130))</f>
        <v/>
      </c>
      <c r="C130" s="6" t="str">
        <f>IF(B130="","",TRIM(VLOOKUP(B130,'Bảng tra cứu'!$A$2:$B$1000,2,FALSE())))</f>
        <v/>
      </c>
    </row>
    <row r="131" spans="1:3" x14ac:dyDescent="0.3">
      <c r="A131" s="2"/>
      <c r="B131" s="6" t="str">
        <f t="shared" si="4"/>
        <v/>
      </c>
      <c r="C131" s="6" t="str">
        <f>IF(B131="","",TRIM(VLOOKUP(B131,'Bảng tra cứu'!$A$2:$B$1000,2,FALSE())))</f>
        <v/>
      </c>
    </row>
    <row r="132" spans="1:3" x14ac:dyDescent="0.3">
      <c r="A132" s="2"/>
      <c r="B132" s="6" t="str">
        <f t="shared" si="4"/>
        <v/>
      </c>
      <c r="C132" s="6" t="str">
        <f>IF(B132="","",TRIM(VLOOKUP(B132,'Bảng tra cứu'!$A$2:$B$1000,2,FALSE())))</f>
        <v/>
      </c>
    </row>
    <row r="133" spans="1:3" x14ac:dyDescent="0.3">
      <c r="A133" s="2"/>
      <c r="B133" s="6" t="str">
        <f t="shared" si="4"/>
        <v/>
      </c>
      <c r="C133" s="6" t="str">
        <f>IF(B133="","",TRIM(VLOOKUP(B133,'Bảng tra cứu'!$A$2:$B$1000,2,FALSE())))</f>
        <v/>
      </c>
    </row>
    <row r="134" spans="1:3" x14ac:dyDescent="0.3">
      <c r="A134" s="2"/>
      <c r="B134" s="6" t="str">
        <f t="shared" si="4"/>
        <v/>
      </c>
      <c r="C134" s="6" t="str">
        <f>IF(B134="","",TRIM(VLOOKUP(B134,'Bảng tra cứu'!$A$2:$B$1000,2,FALSE())))</f>
        <v/>
      </c>
    </row>
    <row r="135" spans="1:3" x14ac:dyDescent="0.3">
      <c r="A135" s="2"/>
      <c r="B135" s="6" t="str">
        <f t="shared" si="4"/>
        <v/>
      </c>
      <c r="C135" s="6" t="str">
        <f>IF(B135="","",TRIM(VLOOKUP(B135,'Bảng tra cứu'!$A$2:$B$1000,2,FALSE())))</f>
        <v/>
      </c>
    </row>
    <row r="136" spans="1:3" x14ac:dyDescent="0.3">
      <c r="A136" s="2"/>
      <c r="B136" s="6" t="str">
        <f t="shared" si="4"/>
        <v/>
      </c>
      <c r="C136" s="6" t="str">
        <f>IF(B136="","",TRIM(VLOOKUP(B136,'Bảng tra cứu'!$A$2:$B$1000,2,FALSE())))</f>
        <v/>
      </c>
    </row>
    <row r="137" spans="1:3" x14ac:dyDescent="0.3">
      <c r="A137" s="2"/>
      <c r="B137" s="6" t="str">
        <f t="shared" si="4"/>
        <v/>
      </c>
      <c r="C137" s="6" t="str">
        <f>IF(B137="","",TRIM(VLOOKUP(B137,'Bảng tra cứu'!$A$2:$B$1000,2,FALSE())))</f>
        <v/>
      </c>
    </row>
    <row r="138" spans="1:3" x14ac:dyDescent="0.3">
      <c r="A138" s="2"/>
      <c r="B138" s="6" t="str">
        <f t="shared" si="4"/>
        <v/>
      </c>
      <c r="C138" s="6" t="str">
        <f>IF(B138="","",TRIM(VLOOKUP(B138,'Bảng tra cứu'!$A$2:$B$1000,2,FALSE())))</f>
        <v/>
      </c>
    </row>
    <row r="139" spans="1:3" x14ac:dyDescent="0.3">
      <c r="A139" s="2"/>
      <c r="B139" s="6" t="str">
        <f t="shared" si="4"/>
        <v/>
      </c>
      <c r="C139" s="6" t="str">
        <f>IF(B139="","",TRIM(VLOOKUP(B139,'Bảng tra cứu'!$A$2:$B$1000,2,FALSE())))</f>
        <v/>
      </c>
    </row>
    <row r="140" spans="1:3" x14ac:dyDescent="0.3">
      <c r="A140" s="2"/>
      <c r="B140" s="6" t="str">
        <f t="shared" si="4"/>
        <v/>
      </c>
      <c r="C140" s="6" t="str">
        <f>IF(B140="","",TRIM(VLOOKUP(B140,'Bảng tra cứu'!$A$2:$B$1000,2,FALSE())))</f>
        <v/>
      </c>
    </row>
    <row r="141" spans="1:3" x14ac:dyDescent="0.3">
      <c r="A141" s="2"/>
      <c r="B141" s="6" t="str">
        <f t="shared" si="4"/>
        <v/>
      </c>
      <c r="C141" s="6" t="str">
        <f>IF(B141="","",TRIM(VLOOKUP(B141,'Bảng tra cứu'!$A$2:$B$1000,2,FALSE())))</f>
        <v/>
      </c>
    </row>
    <row r="142" spans="1:3" x14ac:dyDescent="0.3">
      <c r="A142" s="2"/>
      <c r="B142" s="6" t="str">
        <f t="shared" si="4"/>
        <v/>
      </c>
      <c r="C142" s="6" t="str">
        <f>IF(B142="","",TRIM(VLOOKUP(B142,'Bảng tra cứu'!$A$2:$B$1000,2,FALSE())))</f>
        <v/>
      </c>
    </row>
    <row r="143" spans="1:3" x14ac:dyDescent="0.3">
      <c r="A143" s="2"/>
      <c r="B143" s="6" t="str">
        <f t="shared" si="4"/>
        <v/>
      </c>
      <c r="C143" s="6" t="str">
        <f>IF(B143="","",TRIM(VLOOKUP(B143,'Bảng tra cứu'!$A$2:$B$1000,2,FALSE())))</f>
        <v/>
      </c>
    </row>
    <row r="144" spans="1:3" x14ac:dyDescent="0.3">
      <c r="A144" s="2"/>
      <c r="B144" s="6" t="str">
        <f t="shared" si="4"/>
        <v/>
      </c>
      <c r="C144" s="6" t="str">
        <f>IF(B144="","",TRIM(VLOOKUP(B144,'Bảng tra cứu'!$A$2:$B$1000,2,FALSE())))</f>
        <v/>
      </c>
    </row>
    <row r="145" spans="1:3" x14ac:dyDescent="0.3">
      <c r="A145" s="2"/>
      <c r="B145" s="6" t="str">
        <f t="shared" si="4"/>
        <v/>
      </c>
      <c r="C145" s="6" t="str">
        <f>IF(B145="","",TRIM(VLOOKUP(B145,'Bảng tra cứu'!$A$2:$B$1000,2,FALSE())))</f>
        <v/>
      </c>
    </row>
    <row r="146" spans="1:3" x14ac:dyDescent="0.3">
      <c r="A146" s="2"/>
      <c r="B146" s="6" t="str">
        <f t="shared" si="4"/>
        <v/>
      </c>
      <c r="C146" s="6" t="str">
        <f>IF(B146="","",TRIM(VLOOKUP(B146,'Bảng tra cứu'!$A$2:$B$1000,2,FALSE())))</f>
        <v/>
      </c>
    </row>
    <row r="147" spans="1:3" x14ac:dyDescent="0.3">
      <c r="A147" s="2"/>
      <c r="B147" s="6" t="str">
        <f t="shared" si="4"/>
        <v/>
      </c>
      <c r="C147" s="6" t="str">
        <f>IF(B147="","",TRIM(VLOOKUP(B147,'Bảng tra cứu'!$A$2:$B$1000,2,FALSE())))</f>
        <v/>
      </c>
    </row>
    <row r="148" spans="1:3" x14ac:dyDescent="0.3">
      <c r="A148" s="2"/>
      <c r="B148" s="6" t="str">
        <f t="shared" si="4"/>
        <v/>
      </c>
      <c r="C148" s="6" t="str">
        <f>IF(B148="","",TRIM(VLOOKUP(B148,'Bảng tra cứu'!$A$2:$B$1000,2,FALSE())))</f>
        <v/>
      </c>
    </row>
    <row r="149" spans="1:3" x14ac:dyDescent="0.3">
      <c r="A149" s="2"/>
      <c r="B149" s="6" t="str">
        <f t="shared" si="4"/>
        <v/>
      </c>
      <c r="C149" s="6" t="str">
        <f>IF(B149="","",TRIM(VLOOKUP(B149,'Bảng tra cứu'!$A$2:$B$1000,2,FALSE())))</f>
        <v/>
      </c>
    </row>
    <row r="150" spans="1:3" x14ac:dyDescent="0.3">
      <c r="A150" s="2"/>
      <c r="B150" s="6" t="str">
        <f t="shared" si="4"/>
        <v/>
      </c>
      <c r="C150" s="6" t="str">
        <f>IF(B150="","",TRIM(VLOOKUP(B150,'Bảng tra cứu'!$A$2:$B$1000,2,FALSE())))</f>
        <v/>
      </c>
    </row>
    <row r="151" spans="1:3" x14ac:dyDescent="0.3">
      <c r="A151" s="2"/>
      <c r="B151" s="6" t="str">
        <f t="shared" si="4"/>
        <v/>
      </c>
      <c r="C151" s="6" t="str">
        <f>IF(B151="","",TRIM(VLOOKUP(B151,'Bảng tra cứu'!$A$2:$B$1000,2,FALSE())))</f>
        <v/>
      </c>
    </row>
    <row r="152" spans="1:3" x14ac:dyDescent="0.3">
      <c r="A152" s="2"/>
      <c r="B152" s="6" t="str">
        <f t="shared" si="4"/>
        <v/>
      </c>
      <c r="C152" s="6" t="str">
        <f>IF(B152="","",TRIM(VLOOKUP(B152,'Bảng tra cứu'!$A$2:$B$1000,2,FALSE())))</f>
        <v/>
      </c>
    </row>
    <row r="153" spans="1:3" x14ac:dyDescent="0.3">
      <c r="A153" s="2"/>
      <c r="B153" s="6" t="str">
        <f t="shared" si="4"/>
        <v/>
      </c>
      <c r="C153" s="6" t="str">
        <f>IF(B153="","",TRIM(VLOOKUP(B153,'Bảng tra cứu'!$A$2:$B$1000,2,FALSE())))</f>
        <v/>
      </c>
    </row>
    <row r="154" spans="1:3" x14ac:dyDescent="0.3">
      <c r="A154" s="2"/>
      <c r="B154" s="6" t="str">
        <f t="shared" si="4"/>
        <v/>
      </c>
      <c r="C154" s="6" t="str">
        <f>IF(B154="","",TRIM(VLOOKUP(B154,'Bảng tra cứu'!$A$2:$B$1000,2,FALSE())))</f>
        <v/>
      </c>
    </row>
    <row r="155" spans="1:3" x14ac:dyDescent="0.3">
      <c r="A155" s="2"/>
      <c r="B155" s="6" t="str">
        <f t="shared" si="4"/>
        <v/>
      </c>
      <c r="C155" s="6" t="str">
        <f>IF(B155="","",TRIM(VLOOKUP(B155,'Bảng tra cứu'!$A$2:$B$1000,2,FALSE())))</f>
        <v/>
      </c>
    </row>
    <row r="156" spans="1:3" x14ac:dyDescent="0.3">
      <c r="A156" s="2"/>
      <c r="B156" s="6" t="str">
        <f t="shared" si="4"/>
        <v/>
      </c>
      <c r="C156" s="6" t="str">
        <f>IF(B156="","",TRIM(VLOOKUP(B156,'Bảng tra cứu'!$A$2:$B$1000,2,FALSE())))</f>
        <v/>
      </c>
    </row>
    <row r="157" spans="1:3" x14ac:dyDescent="0.3">
      <c r="A157" s="2"/>
      <c r="B157" s="6" t="str">
        <f t="shared" si="4"/>
        <v/>
      </c>
      <c r="C157" s="6" t="str">
        <f>IF(B157="","",TRIM(VLOOKUP(B157,'Bảng tra cứu'!$A$2:$B$1000,2,FALSE())))</f>
        <v/>
      </c>
    </row>
    <row r="158" spans="1:3" x14ac:dyDescent="0.3">
      <c r="A158" s="2"/>
      <c r="B158" s="6" t="str">
        <f t="shared" si="4"/>
        <v/>
      </c>
      <c r="C158" s="6" t="str">
        <f>IF(B158="","",TRIM(VLOOKUP(B158,'Bảng tra cứu'!$A$2:$B$1000,2,FALSE())))</f>
        <v/>
      </c>
    </row>
    <row r="159" spans="1:3" x14ac:dyDescent="0.3">
      <c r="A159" s="2"/>
      <c r="B159" s="6" t="str">
        <f t="shared" si="4"/>
        <v/>
      </c>
      <c r="C159" s="6" t="str">
        <f>IF(B159="","",TRIM(VLOOKUP(B159,'Bảng tra cứu'!$A$2:$B$1000,2,FALSE())))</f>
        <v/>
      </c>
    </row>
    <row r="160" spans="1:3" x14ac:dyDescent="0.3">
      <c r="A160" s="2"/>
      <c r="B160" s="6" t="str">
        <f t="shared" si="4"/>
        <v/>
      </c>
      <c r="C160" s="6" t="str">
        <f>IF(B160="","",TRIM(VLOOKUP(B160,'Bảng tra cứu'!$A$2:$B$1000,2,FALSE())))</f>
        <v/>
      </c>
    </row>
    <row r="161" spans="1:3" x14ac:dyDescent="0.3">
      <c r="A161" s="2"/>
      <c r="B161" s="6" t="str">
        <f t="shared" si="4"/>
        <v/>
      </c>
      <c r="C161" s="6" t="str">
        <f>IF(B161="","",TRIM(VLOOKUP(B161,'Bảng tra cứu'!$A$2:$B$1000,2,FALSE())))</f>
        <v/>
      </c>
    </row>
    <row r="162" spans="1:3" x14ac:dyDescent="0.3">
      <c r="A162" s="2"/>
      <c r="B162" s="6" t="str">
        <f t="shared" ref="B162:B193" si="5">IF(A162="","",TRIM(A162))</f>
        <v/>
      </c>
      <c r="C162" s="6" t="str">
        <f>IF(B162="","",TRIM(VLOOKUP(B162,'Bảng tra cứu'!$A$2:$B$1000,2,FALSE())))</f>
        <v/>
      </c>
    </row>
    <row r="163" spans="1:3" x14ac:dyDescent="0.3">
      <c r="A163" s="2"/>
      <c r="B163" s="6" t="str">
        <f t="shared" si="5"/>
        <v/>
      </c>
      <c r="C163" s="6" t="str">
        <f>IF(B163="","",TRIM(VLOOKUP(B163,'Bảng tra cứu'!$A$2:$B$1000,2,FALSE())))</f>
        <v/>
      </c>
    </row>
    <row r="164" spans="1:3" x14ac:dyDescent="0.3">
      <c r="A164" s="2"/>
      <c r="B164" s="6" t="str">
        <f t="shared" si="5"/>
        <v/>
      </c>
      <c r="C164" s="6" t="str">
        <f>IF(B164="","",TRIM(VLOOKUP(B164,'Bảng tra cứu'!$A$2:$B$1000,2,FALSE())))</f>
        <v/>
      </c>
    </row>
    <row r="165" spans="1:3" x14ac:dyDescent="0.3">
      <c r="A165" s="2"/>
      <c r="B165" s="6" t="str">
        <f t="shared" si="5"/>
        <v/>
      </c>
      <c r="C165" s="6" t="str">
        <f>IF(B165="","",TRIM(VLOOKUP(B165,'Bảng tra cứu'!$A$2:$B$1000,2,FALSE())))</f>
        <v/>
      </c>
    </row>
    <row r="166" spans="1:3" x14ac:dyDescent="0.3">
      <c r="A166" s="2"/>
      <c r="B166" s="6" t="str">
        <f t="shared" si="5"/>
        <v/>
      </c>
      <c r="C166" s="6" t="str">
        <f>IF(B166="","",TRIM(VLOOKUP(B166,'Bảng tra cứu'!$A$2:$B$1000,2,FALSE())))</f>
        <v/>
      </c>
    </row>
    <row r="167" spans="1:3" x14ac:dyDescent="0.3">
      <c r="A167" s="2"/>
      <c r="B167" s="6" t="str">
        <f t="shared" si="5"/>
        <v/>
      </c>
      <c r="C167" s="6" t="str">
        <f>IF(B167="","",TRIM(VLOOKUP(B167,'Bảng tra cứu'!$A$2:$B$1000,2,FALSE())))</f>
        <v/>
      </c>
    </row>
    <row r="168" spans="1:3" x14ac:dyDescent="0.3">
      <c r="A168" s="2"/>
      <c r="B168" s="6" t="str">
        <f t="shared" si="5"/>
        <v/>
      </c>
      <c r="C168" s="6" t="str">
        <f>IF(B168="","",TRIM(VLOOKUP(B168,'Bảng tra cứu'!$A$2:$B$1000,2,FALSE())))</f>
        <v/>
      </c>
    </row>
    <row r="169" spans="1:3" x14ac:dyDescent="0.3">
      <c r="A169" s="2"/>
      <c r="B169" s="6" t="str">
        <f t="shared" si="5"/>
        <v/>
      </c>
      <c r="C169" s="6" t="str">
        <f>IF(B169="","",TRIM(VLOOKUP(B169,'Bảng tra cứu'!$A$2:$B$1000,2,FALSE())))</f>
        <v/>
      </c>
    </row>
    <row r="170" spans="1:3" x14ac:dyDescent="0.3">
      <c r="A170" s="2"/>
      <c r="B170" s="6" t="str">
        <f t="shared" si="5"/>
        <v/>
      </c>
      <c r="C170" s="6" t="str">
        <f>IF(B170="","",TRIM(VLOOKUP(B170,'Bảng tra cứu'!$A$2:$B$1000,2,FALSE())))</f>
        <v/>
      </c>
    </row>
    <row r="171" spans="1:3" x14ac:dyDescent="0.3">
      <c r="A171" s="2"/>
      <c r="B171" s="6" t="str">
        <f t="shared" si="5"/>
        <v/>
      </c>
      <c r="C171" s="6" t="str">
        <f>IF(B171="","",TRIM(VLOOKUP(B171,'Bảng tra cứu'!$A$2:$B$1000,2,FALSE())))</f>
        <v/>
      </c>
    </row>
    <row r="172" spans="1:3" x14ac:dyDescent="0.3">
      <c r="A172" s="2"/>
      <c r="B172" s="6" t="str">
        <f t="shared" si="5"/>
        <v/>
      </c>
      <c r="C172" s="6" t="str">
        <f>IF(B172="","",TRIM(VLOOKUP(B172,'Bảng tra cứu'!$A$2:$B$1000,2,FALSE())))</f>
        <v/>
      </c>
    </row>
    <row r="173" spans="1:3" x14ac:dyDescent="0.3">
      <c r="A173" s="2"/>
      <c r="B173" s="6" t="str">
        <f t="shared" si="5"/>
        <v/>
      </c>
      <c r="C173" s="6" t="str">
        <f>IF(B173="","",TRIM(VLOOKUP(B173,'Bảng tra cứu'!$A$2:$B$1000,2,FALSE())))</f>
        <v/>
      </c>
    </row>
    <row r="174" spans="1:3" x14ac:dyDescent="0.3">
      <c r="A174" s="2"/>
      <c r="B174" s="6" t="str">
        <f t="shared" si="5"/>
        <v/>
      </c>
      <c r="C174" s="6" t="str">
        <f>IF(B174="","",TRIM(VLOOKUP(B174,'Bảng tra cứu'!$A$2:$B$1000,2,FALSE())))</f>
        <v/>
      </c>
    </row>
    <row r="175" spans="1:3" x14ac:dyDescent="0.3">
      <c r="A175" s="2"/>
      <c r="B175" s="6" t="str">
        <f t="shared" si="5"/>
        <v/>
      </c>
      <c r="C175" s="6" t="str">
        <f>IF(B175="","",TRIM(VLOOKUP(B175,'Bảng tra cứu'!$A$2:$B$1000,2,FALSE())))</f>
        <v/>
      </c>
    </row>
    <row r="176" spans="1:3" x14ac:dyDescent="0.3">
      <c r="A176" s="2"/>
      <c r="B176" s="6" t="str">
        <f t="shared" si="5"/>
        <v/>
      </c>
      <c r="C176" s="6" t="str">
        <f>IF(B176="","",TRIM(VLOOKUP(B176,'Bảng tra cứu'!$A$2:$B$1000,2,FALSE())))</f>
        <v/>
      </c>
    </row>
    <row r="177" spans="1:3" x14ac:dyDescent="0.3">
      <c r="A177" s="2"/>
      <c r="B177" s="6" t="str">
        <f t="shared" si="5"/>
        <v/>
      </c>
      <c r="C177" s="6" t="str">
        <f>IF(B177="","",TRIM(VLOOKUP(B177,'Bảng tra cứu'!$A$2:$B$1000,2,FALSE())))</f>
        <v/>
      </c>
    </row>
    <row r="178" spans="1:3" x14ac:dyDescent="0.3">
      <c r="A178" s="2"/>
      <c r="B178" s="6" t="str">
        <f t="shared" si="5"/>
        <v/>
      </c>
      <c r="C178" s="6" t="str">
        <f>IF(B178="","",TRIM(VLOOKUP(B178,'Bảng tra cứu'!$A$2:$B$1000,2,FALSE())))</f>
        <v/>
      </c>
    </row>
    <row r="179" spans="1:3" x14ac:dyDescent="0.3">
      <c r="A179" s="2"/>
      <c r="B179" s="6" t="str">
        <f t="shared" si="5"/>
        <v/>
      </c>
      <c r="C179" s="6" t="str">
        <f>IF(B179="","",TRIM(VLOOKUP(B179,'Bảng tra cứu'!$A$2:$B$1000,2,FALSE())))</f>
        <v/>
      </c>
    </row>
    <row r="180" spans="1:3" x14ac:dyDescent="0.3">
      <c r="A180" s="2"/>
      <c r="B180" s="6" t="str">
        <f t="shared" si="5"/>
        <v/>
      </c>
      <c r="C180" s="6" t="str">
        <f>IF(B180="","",TRIM(VLOOKUP(B180,'Bảng tra cứu'!$A$2:$B$1000,2,FALSE())))</f>
        <v/>
      </c>
    </row>
    <row r="181" spans="1:3" x14ac:dyDescent="0.3">
      <c r="A181" s="2"/>
      <c r="B181" s="6" t="str">
        <f t="shared" si="5"/>
        <v/>
      </c>
      <c r="C181" s="6" t="str">
        <f>IF(B181="","",TRIM(VLOOKUP(B181,'Bảng tra cứu'!$A$2:$B$1000,2,FALSE())))</f>
        <v/>
      </c>
    </row>
    <row r="182" spans="1:3" x14ac:dyDescent="0.3">
      <c r="A182" s="2"/>
      <c r="B182" s="6" t="str">
        <f t="shared" si="5"/>
        <v/>
      </c>
      <c r="C182" s="6" t="str">
        <f>IF(B182="","",TRIM(VLOOKUP(B182,'Bảng tra cứu'!$A$2:$B$1000,2,FALSE())))</f>
        <v/>
      </c>
    </row>
    <row r="183" spans="1:3" x14ac:dyDescent="0.3">
      <c r="A183" s="2"/>
      <c r="B183" s="6" t="str">
        <f t="shared" si="5"/>
        <v/>
      </c>
      <c r="C183" s="6" t="str">
        <f>IF(B183="","",TRIM(VLOOKUP(B183,'Bảng tra cứu'!$A$2:$B$1000,2,FALSE())))</f>
        <v/>
      </c>
    </row>
    <row r="184" spans="1:3" x14ac:dyDescent="0.3">
      <c r="A184" s="2"/>
      <c r="B184" s="6" t="str">
        <f t="shared" si="5"/>
        <v/>
      </c>
      <c r="C184" s="6" t="str">
        <f>IF(B184="","",TRIM(VLOOKUP(B184,'Bảng tra cứu'!$A$2:$B$1000,2,FALSE())))</f>
        <v/>
      </c>
    </row>
    <row r="185" spans="1:3" x14ac:dyDescent="0.3">
      <c r="A185" s="2"/>
      <c r="B185" s="6" t="str">
        <f t="shared" si="5"/>
        <v/>
      </c>
      <c r="C185" s="6" t="str">
        <f>IF(B185="","",TRIM(VLOOKUP(B185,'Bảng tra cứu'!$A$2:$B$1000,2,FALSE())))</f>
        <v/>
      </c>
    </row>
    <row r="186" spans="1:3" x14ac:dyDescent="0.3">
      <c r="A186" s="2"/>
      <c r="B186" s="6" t="str">
        <f t="shared" si="5"/>
        <v/>
      </c>
      <c r="C186" s="6" t="str">
        <f>IF(B186="","",TRIM(VLOOKUP(B186,'Bảng tra cứu'!$A$2:$B$1000,2,FALSE())))</f>
        <v/>
      </c>
    </row>
    <row r="187" spans="1:3" x14ac:dyDescent="0.3">
      <c r="A187" s="2"/>
      <c r="B187" s="6" t="str">
        <f t="shared" si="5"/>
        <v/>
      </c>
      <c r="C187" s="6" t="str">
        <f>IF(B187="","",TRIM(VLOOKUP(B187,'Bảng tra cứu'!$A$2:$B$1000,2,FALSE())))</f>
        <v/>
      </c>
    </row>
    <row r="188" spans="1:3" x14ac:dyDescent="0.3">
      <c r="A188" s="2"/>
      <c r="B188" s="6" t="str">
        <f t="shared" si="5"/>
        <v/>
      </c>
      <c r="C188" s="6" t="str">
        <f>IF(B188="","",TRIM(VLOOKUP(B188,'Bảng tra cứu'!$A$2:$B$1000,2,FALSE())))</f>
        <v/>
      </c>
    </row>
    <row r="189" spans="1:3" x14ac:dyDescent="0.3">
      <c r="A189" s="2"/>
      <c r="B189" s="6" t="str">
        <f t="shared" si="5"/>
        <v/>
      </c>
      <c r="C189" s="6" t="str">
        <f>IF(B189="","",TRIM(VLOOKUP(B189,'Bảng tra cứu'!$A$2:$B$1000,2,FALSE())))</f>
        <v/>
      </c>
    </row>
    <row r="190" spans="1:3" x14ac:dyDescent="0.3">
      <c r="A190" s="2"/>
      <c r="B190" s="6" t="str">
        <f t="shared" si="5"/>
        <v/>
      </c>
      <c r="C190" s="6" t="str">
        <f>IF(B190="","",TRIM(VLOOKUP(B190,'Bảng tra cứu'!$A$2:$B$1000,2,FALSE())))</f>
        <v/>
      </c>
    </row>
    <row r="191" spans="1:3" x14ac:dyDescent="0.3">
      <c r="A191" s="2"/>
      <c r="B191" s="6" t="str">
        <f t="shared" si="5"/>
        <v/>
      </c>
      <c r="C191" s="6" t="str">
        <f>IF(B191="","",TRIM(VLOOKUP(B191,'Bảng tra cứu'!$A$2:$B$1000,2,FALSE())))</f>
        <v/>
      </c>
    </row>
    <row r="192" spans="1:3" x14ac:dyDescent="0.3">
      <c r="A192" s="2"/>
      <c r="B192" s="6" t="str">
        <f t="shared" si="5"/>
        <v/>
      </c>
      <c r="C192" s="6" t="str">
        <f>IF(B192="","",TRIM(VLOOKUP(B192,'Bảng tra cứu'!$A$2:$B$1000,2,FALSE())))</f>
        <v/>
      </c>
    </row>
    <row r="193" spans="1:3" x14ac:dyDescent="0.3">
      <c r="A193" s="2"/>
      <c r="B193" s="6" t="str">
        <f t="shared" si="5"/>
        <v/>
      </c>
      <c r="C193" s="6" t="str">
        <f>IF(B193="","",TRIM(VLOOKUP(B193,'Bảng tra cứu'!$A$2:$B$1000,2,FALSE())))</f>
        <v/>
      </c>
    </row>
    <row r="194" spans="1:3" x14ac:dyDescent="0.3">
      <c r="A194" s="2"/>
      <c r="B194" s="6" t="str">
        <f t="shared" ref="B194:B225" si="6">IF(A194="","",TRIM(A194))</f>
        <v/>
      </c>
      <c r="C194" s="6" t="str">
        <f>IF(B194="","",TRIM(VLOOKUP(B194,'Bảng tra cứu'!$A$2:$B$1000,2,FALSE())))</f>
        <v/>
      </c>
    </row>
    <row r="195" spans="1:3" x14ac:dyDescent="0.3">
      <c r="A195" s="2"/>
      <c r="B195" s="6" t="str">
        <f t="shared" si="6"/>
        <v/>
      </c>
      <c r="C195" s="6" t="str">
        <f>IF(B195="","",TRIM(VLOOKUP(B195,'Bảng tra cứu'!$A$2:$B$1000,2,FALSE())))</f>
        <v/>
      </c>
    </row>
    <row r="196" spans="1:3" x14ac:dyDescent="0.3">
      <c r="A196" s="2"/>
      <c r="B196" s="6" t="str">
        <f t="shared" si="6"/>
        <v/>
      </c>
      <c r="C196" s="6" t="str">
        <f>IF(B196="","",TRIM(VLOOKUP(B196,'Bảng tra cứu'!$A$2:$B$1000,2,FALSE())))</f>
        <v/>
      </c>
    </row>
    <row r="197" spans="1:3" x14ac:dyDescent="0.3">
      <c r="A197" s="2"/>
      <c r="B197" s="6" t="str">
        <f t="shared" si="6"/>
        <v/>
      </c>
      <c r="C197" s="6" t="str">
        <f>IF(B197="","",TRIM(VLOOKUP(B197,'Bảng tra cứu'!$A$2:$B$1000,2,FALSE())))</f>
        <v/>
      </c>
    </row>
    <row r="198" spans="1:3" x14ac:dyDescent="0.3">
      <c r="A198" s="2"/>
      <c r="B198" s="6" t="str">
        <f t="shared" si="6"/>
        <v/>
      </c>
      <c r="C198" s="6" t="str">
        <f>IF(B198="","",TRIM(VLOOKUP(B198,'Bảng tra cứu'!$A$2:$B$1000,2,FALSE())))</f>
        <v/>
      </c>
    </row>
    <row r="199" spans="1:3" x14ac:dyDescent="0.3">
      <c r="A199" s="2"/>
      <c r="B199" s="6" t="str">
        <f t="shared" si="6"/>
        <v/>
      </c>
      <c r="C199" s="6" t="str">
        <f>IF(B199="","",TRIM(VLOOKUP(B199,'Bảng tra cứu'!$A$2:$B$1000,2,FALSE())))</f>
        <v/>
      </c>
    </row>
    <row r="200" spans="1:3" x14ac:dyDescent="0.3">
      <c r="A200" s="2"/>
      <c r="B200" s="6" t="str">
        <f t="shared" si="6"/>
        <v/>
      </c>
      <c r="C200" s="6" t="str">
        <f>IF(B200="","",TRIM(VLOOKUP(B200,'Bảng tra cứu'!$A$2:$B$1000,2,FALSE())))</f>
        <v/>
      </c>
    </row>
  </sheetData>
  <autoFilter ref="A1:C200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30" customWidth="1"/>
  </cols>
  <sheetData>
    <row r="1" spans="1:2" x14ac:dyDescent="0.3">
      <c r="A1" s="7" t="s">
        <v>37</v>
      </c>
      <c r="B1" s="7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10" customWidth="1"/>
  </cols>
  <sheetData>
    <row r="1" spans="1:2" x14ac:dyDescent="0.3">
      <c r="A1" s="8" t="s">
        <v>38</v>
      </c>
      <c r="B1" s="8" t="s">
        <v>39</v>
      </c>
    </row>
    <row r="2" spans="1:2" x14ac:dyDescent="0.3">
      <c r="A2" s="9" t="s">
        <v>40</v>
      </c>
      <c r="B2" s="10" t="s">
        <v>41</v>
      </c>
    </row>
    <row r="3" spans="1:2" x14ac:dyDescent="0.3">
      <c r="A3" s="9" t="s">
        <v>42</v>
      </c>
      <c r="B3" s="10" t="s">
        <v>43</v>
      </c>
    </row>
    <row r="4" spans="1:2" x14ac:dyDescent="0.3">
      <c r="A4" s="9" t="s">
        <v>44</v>
      </c>
      <c r="B4" s="10" t="s">
        <v>45</v>
      </c>
    </row>
    <row r="5" spans="1:2" x14ac:dyDescent="0.3">
      <c r="A5" s="9" t="s">
        <v>46</v>
      </c>
      <c r="B5" s="10" t="s">
        <v>47</v>
      </c>
    </row>
    <row r="6" spans="1:2" x14ac:dyDescent="0.3">
      <c r="A6" s="9" t="s">
        <v>48</v>
      </c>
      <c r="B6" s="10" t="s">
        <v>49</v>
      </c>
    </row>
    <row r="7" spans="1:2" ht="26.4" x14ac:dyDescent="0.3">
      <c r="A7" s="9" t="s">
        <v>50</v>
      </c>
      <c r="B7" s="10" t="s">
        <v>51</v>
      </c>
    </row>
    <row r="8" spans="1:2" x14ac:dyDescent="0.3">
      <c r="A8" s="9" t="s">
        <v>52</v>
      </c>
      <c r="B8" s="10" t="s">
        <v>53</v>
      </c>
    </row>
    <row r="9" spans="1:2" x14ac:dyDescent="0.3">
      <c r="A9" s="9" t="s">
        <v>54</v>
      </c>
      <c r="B9" s="10" t="s">
        <v>55</v>
      </c>
    </row>
    <row r="10" spans="1:2" ht="26.4" x14ac:dyDescent="0.3">
      <c r="A10" s="9" t="s">
        <v>56</v>
      </c>
      <c r="B10" s="10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 phí</vt:lpstr>
      <vt:lpstr>Dữ liệu giao dịch</vt:lpstr>
      <vt:lpstr>Bảng tra cứu</vt:lpstr>
      <vt:lpstr>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Thái</cp:lastModifiedBy>
  <cp:revision>0</cp:revision>
  <dcterms:created xsi:type="dcterms:W3CDTF">2026-10-21T06:58:06Z</dcterms:created>
  <dcterms:modified xsi:type="dcterms:W3CDTF">2026-10-21T07:28:40Z</dcterms:modified>
  <dc:language>en-US</dc:language>
</cp:coreProperties>
</file>